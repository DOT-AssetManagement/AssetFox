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drawing+xml" PartName="/xl/drawings/drawing10.xml"/>
  <Override ContentType="application/vnd.openxmlformats-officedocument.drawingml.chart+xml" PartName="/xl/charts/chart1.xml"/>
  <Override ContentType="application/vnd.openxmlformats-officedocument.drawing+xml" PartName="/xl/drawings/drawing11.xml"/>
  <Override ContentType="application/vnd.openxmlformats-officedocument.drawingml.chart+xml" PartName="/xl/charts/chart2.xml"/>
  <Override ContentType="application/vnd.openxmlformats-officedocument.drawing+xml" PartName="/xl/drawings/drawing12.xml"/>
  <Override ContentType="application/vnd.openxmlformats-officedocument.drawingml.chart+xml" PartName="/xl/charts/chart3.xml"/>
  <Override ContentType="application/vnd.openxmlformats-officedocument.drawing+xml" PartName="/xl/drawings/drawing13.xml"/>
  <Override ContentType="application/vnd.openxmlformats-officedocument.drawingml.chart+xml" PartName="/xl/charts/chart4.xml"/>
  <Override ContentType="application/vnd.openxmlformats-officedocument.drawing+xml" PartName="/xl/drawings/drawing14.xml"/>
  <Override ContentType="application/vnd.openxmlformats-officedocument.drawingml.chart+xml" PartName="/xl/charts/chart5.xml"/>
  <Override ContentType="application/vnd.openxmlformats-officedocument.drawing+xml" PartName="/xl/drawings/drawing15.xml"/>
  <Override ContentType="application/vnd.openxmlformats-officedocument.drawingml.chart+xml" PartName="/xl/charts/chart6.xml"/>
  <Override ContentType="application/vnd.openxmlformats-officedocument.spreadsheetml.worksheet+xml" PartName="/xl/worksheets/sheet17.xml"/>
  <Override ContentType="application/vnd.openxmlformats-officedocument.drawing+xml" PartName="/xl/drawings/drawing17.xml"/>
  <Override ContentType="application/vnd.openxmlformats-officedocument.drawingml.chart+xml" PartName="/xl/charts/chart7.xml"/>
  <Override ContentType="application/vnd.openxmlformats-officedocument.spreadsheetml.worksheet+xml" PartName="/xl/worksheets/sheet18.xml"/>
  <Override ContentType="application/vnd.openxmlformats-officedocument.drawing+xml" PartName="/xl/drawings/drawing18.xml"/>
  <Override ContentType="application/vnd.openxmlformats-officedocument.drawingml.chart+xml" PartName="/xl/charts/chart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drawing+xml" PartName="/xl/drawings/drawing19.xml"/>
  <Override ContentType="application/vnd.openxmlformats-officedocument.drawingml.chart+xml" PartName="/xl/charts/chart9.xml"/>
  <Override ContentType="application/vnd.openxmlformats-officedocument.drawing+xml" PartName="/xl/drawings/drawing20.xml"/>
  <Override ContentType="application/vnd.openxmlformats-officedocument.drawingml.chart+xml" PartName="/xl/charts/chart10.xml"/>
  <Override ContentType="application/vnd.openxmlformats-officedocument.drawing+xml" PartName="/xl/drawings/drawing21.xml"/>
  <Override ContentType="application/vnd.openxmlformats-officedocument.drawingml.chart+xml" PartName="/xl/charts/chart11.xml"/>
  <Override ContentType="application/vnd.openxmlformats-officedocument.drawing+xml" PartName="/xl/drawings/drawing22.xml"/>
  <Override ContentType="application/vnd.openxmlformats-officedocument.drawingml.chart+xml" PartName="/xl/charts/chart12.xml"/>
  <Override ContentType="application/vnd.openxmlformats-officedocument.drawing+xml" PartName="/xl/drawings/drawing23.xml"/>
  <Override ContentType="application/vnd.openxmlformats-officedocument.drawingml.chart+xml" PartName="/xl/charts/chart13.xml"/>
  <Override ContentType="application/vnd.openxmlformats-officedocument.drawing+xml" PartName="/xl/drawings/drawing24.xml"/>
  <Override ContentType="application/vnd.openxmlformats-officedocument.drawingml.chart+xml" PartName="/xl/charts/chart14.xml"/>
  <Override ContentType="application/vnd.openxmlformats-officedocument.drawing+xml" PartName="/xl/drawings/drawing25.xml"/>
  <Override ContentType="application/vnd.openxmlformats-officedocument.drawingml.chart+xml" PartName="/xl/charts/chart1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arameters" sheetId="1" r:id="rId1"/>
    <sheet name="Legend" sheetId="2" r:id="rId2"/>
    <sheet name="Bridge Data" sheetId="3" r:id="rId4"/>
    <sheet name="Funded Treatment List" sheetId="4" r:id="rId5"/>
    <sheet name="Unfunded Treatment - Final List" sheetId="5" r:id="rId6"/>
    <sheet name="Unfunded Treatment - Time" sheetId="6" r:id="rId7"/>
    <sheet name="Bridge Work Summary" sheetId="7" r:id="rId8"/>
    <sheet name="Bridge Work Summary By Budget" sheetId="8" r:id="rId9"/>
    <sheet name="District County Totals" sheetId="9" r:id="rId10"/>
    <sheet name="NHS Count" sheetId="10" r:id="rId11"/>
    <sheet name="NHS DA" sheetId="11" r:id="rId12"/>
    <sheet name="Non NHS Count" sheetId="12" r:id="rId13"/>
    <sheet name="Non NHS DA" sheetId="13" r:id="rId14"/>
    <sheet name="Combined Count" sheetId="14" r:id="rId15"/>
    <sheet name="Combined DA" sheetId="15" r:id="rId16"/>
    <sheet name="Graph Data" sheetId="16" r:id="rId17" state="hidden"/>
    <sheet name="Poor Count" sheetId="17" r:id="rId18"/>
    <sheet name="Poor DA" sheetId="18" r:id="rId19"/>
    <sheet name="Poor DA By BPN" sheetId="19" r:id="rId20"/>
    <sheet name="Posted BPN Count" sheetId="20" r:id="rId21"/>
    <sheet name="Posted BPN DA" sheetId="21" r:id="rId22"/>
    <sheet name="Close BPN Count" sheetId="22" r:id="rId23"/>
    <sheet name="Closed BPN DA" sheetId="23" r:id="rId24"/>
    <sheet name="Combined Posted and Closed" sheetId="24" r:id="rId25"/>
    <sheet name="$ Needed DA BPN" sheetId="25" r:id="rId26"/>
  </sheets>
  <definedNames>
    <definedName name="_xlnm._FilterDatabase" localSheetId="2" hidden="1">'Bridge Data'!$A$5:$LE$5</definedName>
    <definedName name="_xlnm._FilterDatabase" localSheetId="3" hidden="1">'Funded Treatment List'!$A$3:$AI$3</definedName>
    <definedName name="_xlnm._FilterDatabase" localSheetId="4" hidden="1">'Unfunded Treatment - Final List'!$A$3:$AI$3</definedName>
    <definedName name="_xlnm._FilterDatabase" localSheetId="5" hidden="1">'Unfunded Treatment - Time'!$A$3:$AI$3</definedName>
  </definedNames>
  <calcPr fullCalcOnLoad="1"/>
</workbook>
</file>

<file path=xl/sharedStrings.xml><?xml version="1.0" encoding="utf-8"?>
<sst xmlns="http://schemas.openxmlformats.org/spreadsheetml/2006/main" count="618" uniqueCount="618">
  <si>
    <t>Simulation Name</t>
  </si>
  <si>
    <t>Test unlimited</t>
  </si>
  <si>
    <t>Simulation Comment</t>
  </si>
  <si>
    <t>BridgeCare Rules Creator:</t>
  </si>
  <si>
    <t>Central Office</t>
  </si>
  <si>
    <t>Simulation Last Run:</t>
  </si>
  <si>
    <t>1/15/2026</t>
  </si>
  <si>
    <t>BridgeCare Rules Date:</t>
  </si>
  <si>
    <t>Network Name</t>
  </si>
  <si>
    <t>Network:</t>
  </si>
  <si>
    <t>2024 Q2 Base Data</t>
  </si>
  <si>
    <t>Parameters are based on the criteria editor inputs</t>
  </si>
  <si>
    <t>NHS</t>
  </si>
  <si>
    <t>Investment:</t>
  </si>
  <si>
    <t>Analysis:</t>
  </si>
  <si>
    <t>N</t>
  </si>
  <si>
    <t>Non-NHS</t>
  </si>
  <si>
    <t>Y</t>
  </si>
  <si>
    <t>Start Year:</t>
  </si>
  <si>
    <t>Optimization:</t>
  </si>
  <si>
    <t>BenefitToCostRatio</t>
  </si>
  <si>
    <t>6A19 BPN</t>
  </si>
  <si>
    <t>Analysis Period:</t>
  </si>
  <si>
    <t>Budget:</t>
  </si>
  <si>
    <t>UnlimitedSpending</t>
  </si>
  <si>
    <t>1</t>
  </si>
  <si>
    <t>2</t>
  </si>
  <si>
    <t>Inflation Rate:</t>
  </si>
  <si>
    <t>Weighting:</t>
  </si>
  <si>
    <t>RISK_SCORE</t>
  </si>
  <si>
    <t>3</t>
  </si>
  <si>
    <t>4</t>
  </si>
  <si>
    <t>5A21 Owner</t>
  </si>
  <si>
    <t>5C22 Functional Class</t>
  </si>
  <si>
    <t>Benefit:</t>
  </si>
  <si>
    <t>CONDITIONINDEX</t>
  </si>
  <si>
    <t>H</t>
  </si>
  <si>
    <t>01 - State Highway Agency</t>
  </si>
  <si>
    <t>Rural</t>
  </si>
  <si>
    <t>L</t>
  </si>
  <si>
    <t>02 - County Highway Agency</t>
  </si>
  <si>
    <t>01 - Rural - Principal Arterial - Interstate</t>
  </si>
  <si>
    <t>Jurisdiction Criteria:</t>
  </si>
  <si>
    <t>([DISTRICT]='04' AND [INTERNET_REPORT]='Local' AND [COUNTY]='Pike' AND [NBISLEN]='Y' AND ([CULV_SEEDED]&lt;'5' OR [DECK_SEEDED]&lt;'5' OR [SUB_SEEDED]&lt;'5' OR [SUP_SEEDED]&lt;'5'))</t>
  </si>
  <si>
    <t>T</t>
  </si>
  <si>
    <t>03 - Town or Township Highway Agency</t>
  </si>
  <si>
    <t>02 - Rural - Principal Arterial - Other</t>
  </si>
  <si>
    <t>D</t>
  </si>
  <si>
    <t>04 - City, Municipal Highway Agency or Borough</t>
  </si>
  <si>
    <t>03 - Rural - Other Freeway/Expressway</t>
  </si>
  <si>
    <t>11 - State Park, Forest or Reservation Agency</t>
  </si>
  <si>
    <t>06 - Rural - Minor Arterial</t>
  </si>
  <si>
    <t>Number</t>
  </si>
  <si>
    <t>Criteria:</t>
  </si>
  <si>
    <t>Analysis Priorites:</t>
  </si>
  <si>
    <t>Blank</t>
  </si>
  <si>
    <t>12 - Local Park, Forest or Reservation Agency</t>
  </si>
  <si>
    <t>07 - Rural - Major Collector</t>
  </si>
  <si>
    <t>21 - Other State Agency</t>
  </si>
  <si>
    <t>08 - Rural - Minor Collector</t>
  </si>
  <si>
    <t>(([BRIDGE_TYPE]='B' AND ([DECK_SEEDED]&lt;='3.5' OR [SUP_SEEDED]&lt;='3.5' OR [SUB_SEEDED]&lt;='3.5')) OR ([BRIDGE_TYPE]='C' AND [CULV_SEEDED]&lt;='3.5')) AND ([NHS_IND]='1' OR ([NHS_IND]='0' AND [RISK_SCORE]&gt;='15000'))</t>
  </si>
  <si>
    <t>25 - Other local Agency</t>
  </si>
  <si>
    <t>09 - Rural - Local</t>
  </si>
  <si>
    <t>([POST_STATUS]&lt;&gt;'CLOSED' AND ([DECK_SEEDED]&lt;'3.0' OR [SUP_SEEDED]&lt;'3.0' OR [SUB_SEEDED]&lt;'3.0'))</t>
  </si>
  <si>
    <t>Bridge Length</t>
  </si>
  <si>
    <t>26 - Private (Other than Railroad)</t>
  </si>
  <si>
    <t>NN - Other</t>
  </si>
  <si>
    <t>[BRIDGE_TYPE]='C' OR [BRIDGE_TYPE]='B'</t>
  </si>
  <si>
    <t>8-20</t>
  </si>
  <si>
    <t>27 - Railroad</t>
  </si>
  <si>
    <t>Urban</t>
  </si>
  <si>
    <t>NBIS Length</t>
  </si>
  <si>
    <t>31 - State Toll Authority</t>
  </si>
  <si>
    <t>11 - Urban - Principal Arterial - Interstate</t>
  </si>
  <si>
    <t>Budget Split Criteria</t>
  </si>
  <si>
    <t>32 - Local Toll Authority</t>
  </si>
  <si>
    <t>12 - Urban - Principal Arterial - Other Freeway &amp; Expressways</t>
  </si>
  <si>
    <t>Rank</t>
  </si>
  <si>
    <t>Amount</t>
  </si>
  <si>
    <t>Percentage</t>
  </si>
  <si>
    <t>Status</t>
  </si>
  <si>
    <t>60 - Other Federal Agencies</t>
  </si>
  <si>
    <t>14 - Urban - Other Principal Arterial</t>
  </si>
  <si>
    <t>100</t>
  </si>
  <si>
    <t>Open</t>
  </si>
  <si>
    <t>62 - Bureau of Indian Affairs</t>
  </si>
  <si>
    <t>16 - Urban - Minor Arterial</t>
  </si>
  <si>
    <t>50/50</t>
  </si>
  <si>
    <t>Closed</t>
  </si>
  <si>
    <t>64 - U.S. Forest Service</t>
  </si>
  <si>
    <t>17 - Urban - Collector</t>
  </si>
  <si>
    <t>33/33/34</t>
  </si>
  <si>
    <t>P3</t>
  </si>
  <si>
    <t>66 - National Park Service</t>
  </si>
  <si>
    <t>19 - Urban - Local</t>
  </si>
  <si>
    <t>25/25/25/25</t>
  </si>
  <si>
    <t>Posted</t>
  </si>
  <si>
    <t>68 - Bureau of Land Management</t>
  </si>
  <si>
    <t>20/20/20/20/20</t>
  </si>
  <si>
    <t>69 - Bureau of Reclamation</t>
  </si>
  <si>
    <t>99 - Urban - Ramp</t>
  </si>
  <si>
    <t>Treatments in Simulations</t>
  </si>
  <si>
    <t>70 - Military Reservation Corps Engineers</t>
  </si>
  <si>
    <t>BAMS</t>
  </si>
  <si>
    <t>MPMS</t>
  </si>
  <si>
    <t>80 - Unknown</t>
  </si>
  <si>
    <t>Bituminous Overlay</t>
  </si>
  <si>
    <t>XX - Demolished/Replaced</t>
  </si>
  <si>
    <t>Bridge Replacement</t>
  </si>
  <si>
    <t>Culvert Rehab (Other)</t>
  </si>
  <si>
    <t xml:space="preserve">Culvert Replacement (Box Frame </t>
  </si>
  <si>
    <t>Culvert Replacement (Other)</t>
  </si>
  <si>
    <t>Culvert Replacement (Pipe)</t>
  </si>
  <si>
    <t>Deck Replacement</t>
  </si>
  <si>
    <t>Epoxy Joint Glands Coatings</t>
  </si>
  <si>
    <t>General Preservation</t>
  </si>
  <si>
    <t>Leaking Deck Joint Replacement</t>
  </si>
  <si>
    <t>Maintenance</t>
  </si>
  <si>
    <t>No Treatment</t>
  </si>
  <si>
    <t>Painting (Full)</t>
  </si>
  <si>
    <t>Painting (Joint Spot Zone)</t>
  </si>
  <si>
    <t>Preservation</t>
  </si>
  <si>
    <t>Rehabilitation</t>
  </si>
  <si>
    <t>Removal</t>
  </si>
  <si>
    <t>Replacement</t>
  </si>
  <si>
    <t>Scour Hole Repair</t>
  </si>
  <si>
    <t>Structural Overlay Joints Coati</t>
  </si>
  <si>
    <t>Substructure Rehab</t>
  </si>
  <si>
    <t>Superstructure Rep Rehab</t>
  </si>
  <si>
    <t>Years</t>
  </si>
  <si>
    <t>Total Funding</t>
  </si>
  <si>
    <t>WAYNE_BRIP</t>
  </si>
  <si>
    <t>LLTS_185</t>
  </si>
  <si>
    <t>WAYNE_STU</t>
  </si>
  <si>
    <t>N TIER_185</t>
  </si>
  <si>
    <t>WAYNE_STP</t>
  </si>
  <si>
    <t>NEPA_581</t>
  </si>
  <si>
    <t>LLTS_STU</t>
  </si>
  <si>
    <t>LLTS_BOF</t>
  </si>
  <si>
    <t>N TIER_NHPP</t>
  </si>
  <si>
    <t>NEPA_SPIKE</t>
  </si>
  <si>
    <t>N TIER_581</t>
  </si>
  <si>
    <t>NEPA_BOF</t>
  </si>
  <si>
    <t>NEPA_185</t>
  </si>
  <si>
    <t>NEPA_STU</t>
  </si>
  <si>
    <t>WAYNE_BOF</t>
  </si>
  <si>
    <t>LUZ_MAINT</t>
  </si>
  <si>
    <t>LLTS_BRIP</t>
  </si>
  <si>
    <t>N TIER_STP</t>
  </si>
  <si>
    <t>N TIER_BRIP</t>
  </si>
  <si>
    <t>INTERSTATE</t>
  </si>
  <si>
    <t>SUSQ_MAINT</t>
  </si>
  <si>
    <t>WAYNE_185</t>
  </si>
  <si>
    <t>NEPA_BRIP</t>
  </si>
  <si>
    <t>NEPA_NHPP</t>
  </si>
  <si>
    <t>LLTS_STP</t>
  </si>
  <si>
    <t>N TIER_STU</t>
  </si>
  <si>
    <t>LACK_MAINT</t>
  </si>
  <si>
    <t>WAYNE_MAINT</t>
  </si>
  <si>
    <t>WAYNE_NHPP</t>
  </si>
  <si>
    <t>PIKE_MAINT</t>
  </si>
  <si>
    <t>LLTS_581</t>
  </si>
  <si>
    <t>WAYNE_581</t>
  </si>
  <si>
    <t>N TIER_BOF</t>
  </si>
  <si>
    <t>WYO_MAINT</t>
  </si>
  <si>
    <t>LLTS_NHPP</t>
  </si>
  <si>
    <t>LLTS_SPIKE</t>
  </si>
  <si>
    <t>WAYNE_SPIKE</t>
  </si>
  <si>
    <t>NEPA_STP</t>
  </si>
  <si>
    <t>N TIER_SPIKE</t>
  </si>
  <si>
    <t>Budget Criteria</t>
  </si>
  <si>
    <t>Budget Name</t>
  </si>
  <si>
    <t>Criteria</t>
  </si>
  <si>
    <t>([MPO_NAME]='Wayne County' AND ([FUNC_CLASS]='01' OR [FUNC_CLASS]='02' OR [FUNC_CLASS]='03' OR [FUNC_CLASS]='06' OR [FUNC_CLASS]='07' OR [FUNC_CLASS]='11' OR [FUNC_CLASS]='12' OR [FUNC_CLASS]='14' OR [FUNC_CLASS]='16' OR [FUNC_CLASS]='17' OR [FUNC_CLASS]='18') AND [LENGTH]&gt;='20')</t>
  </si>
  <si>
    <t>[MPO_NAME]='Scranton-WB MPO' AND [INTERSTATE]='N'</t>
  </si>
  <si>
    <t>([MPO_NAME]='Wayne County' AND [FUNC_CLASS]='16') OR ([MPO_NAME]='Wayne County' AND [FUNC_CLASS]='17')</t>
  </si>
  <si>
    <t>([MPO_NAME]='Northern Tier RPO' AND [DISTRICT]='04') AND [INTERSTATE]='N'</t>
  </si>
  <si>
    <t>([MPO_NAME]='Wayne County' AND [FUNC_CLASS]='06') OR ([MPO_NAME]='Wayne County' AND [FUNC_CLASS]='07') OR ([MPO_NAME]='Wayne County' AND [FUNC_CLASS]='16') OR ([MPO_NAME]='Wayne County' AND [FUNC_CLASS]='17')</t>
  </si>
  <si>
    <t>([MPO_NAME]='NEPA RPO' AND [DISTRICT]='04') AND [INTERSTATE]='N'</t>
  </si>
  <si>
    <t>([MPO_NAME]='Scranton-WB MPO' AND [FUNC_CLASS]='16') OR ([MPO_NAME]='Scranton-WB MPO' AND [FUNC_CLASS]='17')</t>
  </si>
  <si>
    <t>([MPO_NAME]='Scranton-WB MPO' AND [FUNC_CLASS]='08' AND [LENGTH]&gt;='20') OR ([MPO_NAME]='Scranton-WB MPO' AND [FUNC_CLASS]='09' AND [LENGTH]&gt;='20') OR ([MPO_NAME]='Scranton-WB MPO' AND [FUNC_CLASS]='19' AND [LENGTH]&gt;='20')</t>
  </si>
  <si>
    <t>([MPO_NAME]='Northern Tier RPO' AND [DISTRICT]='04' AND [FUNC_CLASS]='02') OR ([MPO_NAME]='Northern Tier RPO' AND [DISTRICT]='04' AND [FUNC_CLASS]='12') OR ([MPO_NAME]='Northern Tier RPO' AND [DISTRICT]='04' AND [FUNC_CLASS]='14')</t>
  </si>
  <si>
    <t>([MPO_NAME]='NEPA RPO' AND [DISTRICT]='04')</t>
  </si>
  <si>
    <t>([MPO_NAME]='NEPA RPO' AND [DISTRICT]='04' AND [FUNC_CLASS]='08' AND [LENGTH]&gt;='20') OR ([MPO_NAME]='NEPA RPO' AND [DISTRICT]='04' AND [FUNC_CLASS]='09' AND [LENGTH]&gt;='20') OR ([MPO_NAME]='NEPA RPO' AND [DISTRICT]='04' AND [FUNC_CLASS]='19' AND [LENGTH]&gt;='20')</t>
  </si>
  <si>
    <t>([MPO_NAME]='NEPA RPO' AND [DISTRICT]='04' AND [FUNC_CLASS]='16') OR ([MPO_NAME]='NEPA RPO' AND [DISTRICT]='04' AND [FUNC_CLASS]='17')</t>
  </si>
  <si>
    <t>([MPO_NAME]='Wayne County' AND [FUNC_CLASS]='08' AND [LENGTH]&gt;='20') OR ([MPO_NAME]='Wayne County' AND [FUNC_CLASS]='09' AND [LENGTH]&gt;='20') OR ([MPO_NAME]='Wayne County' AND [FUNC_CLASS]='19' AND [LENGTH]&gt;='20')</t>
  </si>
  <si>
    <t>([COUNTY]='Luzerne' AND [OWNER_CODE]='01' AND [INTERSTATE]='N' AND [LENGTH]&lt;='100')</t>
  </si>
  <si>
    <t>([MPO_NAME]='Scranton-WB MPO' AND ([FUNC_CLASS]='01' OR [FUNC_CLASS]='02' OR [FUNC_CLASS]='03' OR [FUNC_CLASS]='06' OR [FUNC_CLASS]='07' OR [FUNC_CLASS]='11' OR [FUNC_CLASS]='12' OR [FUNC_CLASS]='14' OR [FUNC_CLASS]='16' OR [FUNC_CLASS]='17' OR [FUNC_CLASS]='18') AND [LENGTH]&gt;='20')</t>
  </si>
  <si>
    <t>([MPO_NAME]='Northern Tier RPO' AND [DISTRICT]='04' AND [FUNC_CLASS]='06') OR ([MPO_NAME]='Northern Tier RPO' AND [DISTRICT]='04' AND [FUNC_CLASS]='07') OR ([MPO_NAME]='Northern Tier RPO' AND [DISTRICT]='04' AND [FUNC_CLASS]='16') OR ([MPO_NAME]='Northern Tier RPO' AND [DISTRICT]='04' AND [FUNC_CLASS]='17')</t>
  </si>
  <si>
    <t>([MPO_NAME]='Northern Tier RPO' AND ([FUNC_CLASS]='01' OR [FUNC_CLASS]='02' OR [FUNC_CLASS]='03' OR [FUNC_CLASS]='06' OR [FUNC_CLASS]='07' OR [FUNC_CLASS]='11' OR [FUNC_CLASS]='12' OR [FUNC_CLASS]='14' OR [FUNC_CLASS]='16' OR [FUNC_CLASS]='17' OR [FUNC_CLASS]='18') AND [LENGTH]&gt;='20')</t>
  </si>
  <si>
    <t>([DISTRICT]='04' AND [INTERSTATE]='Y')</t>
  </si>
  <si>
    <t>([COUNTY]='Susquehanna' AND [OWNER_CODE]='01' AND [INTERSTATE]='N' AND [LENGTH]&lt;='100')</t>
  </si>
  <si>
    <t>[MPO_NAME]='Wayne County' AND [INTERSTATE]='N'</t>
  </si>
  <si>
    <t>([MPO_NAME]='NEPA RPO' AND ([FUNC_CLASS]='01' OR [FUNC_CLASS]='02' OR [FUNC_CLASS]='03' OR [FUNC_CLASS]='06' OR [FUNC_CLASS]='07' OR [FUNC_CLASS]='11' OR [FUNC_CLASS]='12' OR [FUNC_CLASS]='14' OR [FUNC_CLASS]='16' OR [FUNC_CLASS]='17' OR [FUNC_CLASS]='18') AND [LENGTH]&gt;='20')</t>
  </si>
  <si>
    <t>([MPO_NAME]='NEPA RPO' AND [DISTRICT]='04' AND [FUNC_CLASS]='02') OR ([MPO_NAME]='NEPA RPO' AND [DISTRICT]='04' AND [FUNC_CLASS]='12') OR ([MPO_NAME]='NEPA RPO' AND [DISTRICT]='04' AND [FUNC_CLASS]='14')</t>
  </si>
  <si>
    <t>([MPO_NAME]='Scranton-WB MPO' AND [FUNC_CLASS]='06') OR ([MPO_NAME]='Scranton-WB MPO' AND [FUNC_CLASS]='07') OR ([MPO_NAME]='Scranton-WB MPO' AND [FUNC_CLASS]='16') OR ([MPO_NAME]='Scranton-WB MPO' AND [FUNC_CLASS]='17')</t>
  </si>
  <si>
    <t>([MPO_NAME]='Northern Tier RPO' AND [DISTRICT]='04' AND [FUNC_CLASS]='16') OR ([MPO_NAME]='Northern Tier RPO' AND [DISTRICT]='04' AND [FUNC_CLASS]='17')</t>
  </si>
  <si>
    <t>([COUNTY]='Lackawanna' AND [OWNER_CODE]='01' AND [INTERSTATE]='N' AND [LENGTH]&lt;='100')</t>
  </si>
  <si>
    <t>([COUNTY]='Wayne' AND [OWNER_CODE]='01' AND [INTERSTATE]='N' AND [LENGTH]&lt;='100')</t>
  </si>
  <si>
    <t>([MPO_NAME]='Wayne County' AND [FUNC_CLASS]='02') OR ([MPO_NAME]='Wayne County' AND [FUNC_CLASS]='12') OR ([MPO_NAME]='Wayne County' AND [FUNC_CLASS]='14')</t>
  </si>
  <si>
    <t>([COUNTY]='Pike' AND [OWNER_CODE]='01' AND [INTERSTATE]='N' AND [LENGTH]&lt;='100')</t>
  </si>
  <si>
    <t>([MPO_NAME]='Northern Tier RPO' AND [DISTRICT]='04' AND [FUNC_CLASS]='08' AND [LENGTH]&gt;='20') OR ([MPO_NAME]='Northern Tier RPO' AND [DISTRICT]='04' AND [FUNC_CLASS]='09' AND [LENGTH]&gt;='20') OR ([MPO_NAME]='Northern Tier RPO' AND [DISTRICT]='04' AND [FUNC_CLASS]='19' AND [LENGTH]&gt;='20')</t>
  </si>
  <si>
    <t>([COUNTY]='Wyoming' AND [OWNER_CODE]='01' AND [INTERSTATE]='N' AND [LENGTH]&lt;='100')</t>
  </si>
  <si>
    <t>([MPO_NAME]='Scranton-WB MPO' AND [INTERSTATE]='N' AND [FUNC_CLASS]='02') OR ([MPO_NAME]='Scranton-WB MPO' AND [INTERSTATE]='N' AND [FUNC_CLASS]='12') OR ([MPO_NAME]='Scranton-WB MPO' AND [INTERSTATE]='N' AND [FUNC_CLASS]='14')</t>
  </si>
  <si>
    <t>[MPO_NAME]='Scranton-WB MPO'</t>
  </si>
  <si>
    <t>[MPO_NAME]='Wayne County'</t>
  </si>
  <si>
    <t>([MPO_NAME]='NEPA RPO' AND [DISTRICT]='04' AND [FUNC_CLASS]='06') OR ([MPO_NAME]='NEPA RPO' AND [DISTRICT]='04' AND [FUNC_CLASS]='07') OR ([MPO_NAME]='NEPA RPO' AND [DISTRICT]='04' AND [FUNC_CLASS]='16') OR ([MPO_NAME]='NEPA RPO' AND [DISTRICT]='04' AND [FUNC_CLASS]='17')</t>
  </si>
  <si>
    <t>([MPO_NAME]='Northern Tier RPO' AND [DISTRICT]='04')</t>
  </si>
  <si>
    <t>Color Key</t>
  </si>
  <si>
    <d:r xmlns:d="http://schemas.openxmlformats.org/spreadsheetml/2006/main">
      <d:rPr>
        <d:b/>
        <d:sz val="11"/>
        <d:rFont val="Calibri"/>
      </d:rPr>
      <d:t xml:space="preserve">Tab Definitions</d:t>
    </d:r>
  </si>
  <si>
    <t>Posted / Closed Bridge Condition Range</t>
  </si>
  <si>
    <d:r xmlns:d="http://schemas.openxmlformats.org/spreadsheetml/2006/main">
      <d:rPr>
        <d:b/>
        <d:sz val="11"/>
        <d:rFont val="Calibri"/>
      </d:rPr>
      <d:t xml:space="preserve">Parameters:</d:t>
    </d:r>
    <d:r xmlns:d="http://schemas.openxmlformats.org/spreadsheetml/2006/main">
      <d:rPr>
        <d:sz val="11"/>
        <d:color rgb="FF000000"/>
        <d:rFont val="Calibri"/>
      </d:rPr>
      <d:t xml:space="preserve"> Summary of simulation data inputs.</d:t>
    </d:r>
  </si>
  <si>
    <t>Work Done Columns</t>
  </si>
  <si>
    <d:r xmlns:d="http://schemas.openxmlformats.org/spreadsheetml/2006/main">
      <d:rPr>
        <d:b/>
        <d:sz val="11"/>
        <d:rFont val="Calibri"/>
      </d:rPr>
      <d:t xml:space="preserve">Bridge Data:</d:t>
    </d:r>
    <d:r xmlns:d="http://schemas.openxmlformats.org/spreadsheetml/2006/main">
      <d:rPr>
        <d:sz val="11"/>
        <d:color rgb="FF000000"/>
        <d:rFont val="Calibri"/>
      </d:rPr>
      <d:t xml:space="preserve"> Complete recommended treatments for all structures throughout the analysis period</d:t>
    </d:r>
  </si>
  <si>
    <t>Bridge project is being cashed flowed.</t>
  </si>
  <si>
    <t>Posted Condition &lt;</t>
  </si>
  <si>
    <d:r xmlns:d="http://schemas.openxmlformats.org/spreadsheetml/2006/main">
      <d:rPr>
        <d:b/>
        <d:sz val="11"/>
        <d:rFont val="Calibri"/>
      </d:rPr>
      <d:t xml:space="preserve">Funded Treatment List:</d:t>
    </d:r>
    <d:r xmlns:d="http://schemas.openxmlformats.org/spreadsheetml/2006/main">
      <d:rPr>
        <d:sz val="11"/>
        <d:color rgb="FF000000"/>
        <d:rFont val="Calibri"/>
      </d:rPr>
      <d:t xml:space="preserve"> Provides a list of funded treatments for the analysis period</d:t>
    </d:r>
  </si>
  <si>
    <t>MPMS Project is being Cash Flowed.</t>
  </si>
  <si>
    <t>Closed Condition &lt;</t>
  </si>
  <si>
    <d:r xmlns:d="http://schemas.openxmlformats.org/spreadsheetml/2006/main">
      <d:rPr>
        <d:b/>
        <d:sz val="11"/>
        <d:rFont val="Calibri"/>
      </d:rPr>
      <d:t xml:space="preserve">Unfunded Treatment — Final List:</d:t>
    </d:r>
    <d:r xmlns:d="http://schemas.openxmlformats.org/spreadsheetml/2006/main">
      <d:rPr>
        <d:sz val="11"/>
        <d:color rgb="FF000000"/>
        <d:rFont val="Calibri"/>
      </d:rPr>
      <d:t xml:space="preserve"> First year of unfunded treatments by BRKEY.</d:t>
    </d:r>
  </si>
  <si>
    <d:r xmlns:d="http://schemas.openxmlformats.org/spreadsheetml/2006/main">
      <d:rPr>
        <d:b/>
        <d:sz val="11"/>
        <d:rFont val="Calibri"/>
      </d:rPr>
      <d:t xml:space="preserve">Unfunded Treatment — Time:</d:t>
    </d:r>
    <d:r xmlns:d="http://schemas.openxmlformats.org/spreadsheetml/2006/main">
      <d:rPr>
        <d:sz val="11"/>
        <d:color rgb="FF000000"/>
        <d:rFont val="Calibri"/>
      </d:rPr>
      <d:t xml:space="preserve"> List of unfunded treatments through time.</d:t>
    </d:r>
  </si>
  <si>
    <t>Details Columns</t>
  </si>
  <si>
    <d:r xmlns:d="http://schemas.openxmlformats.org/spreadsheetml/2006/main">
      <d:rPr>
        <d:b/>
        <d:sz val="11"/>
        <d:rFont val="Calibri"/>
      </d:rPr>
      <d:t xml:space="preserve">Bridge Work Summary:</d:t>
    </d:r>
    <d:r xmlns:d="http://schemas.openxmlformats.org/spreadsheetml/2006/main">
      <d:rPr>
        <d:sz val="11"/>
        <d:color rgb="FF000000"/>
        <d:rFont val="Calibri"/>
      </d:rPr>
      <d:t xml:space="preserve"> Summary of projected costs for treatments throughout simulation period for all structures. Summary of projected condition changes throughout analysis period.</d:t>
    </d:r>
  </si>
  <si>
    <t>Condition Limits</t>
  </si>
  <si>
    <d:r xmlns:d="http://schemas.openxmlformats.org/spreadsheetml/2006/main">
      <d:rPr>
        <d:b/>
        <d:sz val="11"/>
        <d:rFont val="Calibri"/>
      </d:rPr>
      <d:t xml:space="preserve">Bridge Work Summary by Budget:</d:t>
    </d:r>
    <d:r xmlns:d="http://schemas.openxmlformats.org/spreadsheetml/2006/main">
      <d:rPr>
        <d:sz val="11"/>
        <d:color rgb="FF000000"/>
        <d:rFont val="Calibri"/>
      </d:rPr>
      <d:t xml:space="preserve"> Summary of projected costs for treatments throughout simulation period for all bridges by specific budget.</d:t>
    </d:r>
  </si>
  <si>
    <t>Good Min Cond &gt;</t>
  </si>
  <si>
    <d:r xmlns:d="http://schemas.openxmlformats.org/spreadsheetml/2006/main">
      <d:rPr>
        <d:b/>
        <d:sz val="11"/>
        <d:rFont val="Calibri"/>
      </d:rPr>
      <d:t xml:space="preserve">District Totals:</d:t>
    </d:r>
    <d:r xmlns:d="http://schemas.openxmlformats.org/spreadsheetml/2006/main">
      <d:rPr>
        <d:sz val="11"/>
        <d:color rgb="FF000000"/>
        <d:rFont val="Calibri"/>
      </d:rPr>
      <d:t xml:space="preserve"> Projected spending per district each year throughout analysis period.</d:t>
    </d:r>
  </si>
  <si>
    <t>Min Condition is less than or equal to 3.5</t>
  </si>
  <si>
    <t>Poor Min Cond &lt;</t>
  </si>
  <si>
    <d:r xmlns:d="http://schemas.openxmlformats.org/spreadsheetml/2006/main">
      <d:rPr>
        <d:b/>
        <d:sz val="11"/>
        <d:rFont val="Calibri"/>
      </d:rPr>
      <d:t xml:space="preserve">NHS Count:</d:t>
    </d:r>
    <d:r xmlns:d="http://schemas.openxmlformats.org/spreadsheetml/2006/main">
      <d:rPr>
        <d:sz val="11"/>
        <d:color rgb="FF000000"/>
        <d:rFont val="Calibri"/>
      </d:rPr>
      <d:t xml:space="preserve"> Graph of projected bridge conditions for structures on the NHS by bridge count.</d:t>
    </d:r>
  </si>
  <si>
    <d:r xmlns:d="http://schemas.openxmlformats.org/spreadsheetml/2006/main">
      <d:rPr>
        <d:b/>
        <d:sz val="11"/>
        <d:rFont val="Calibri"/>
      </d:rPr>
      <d:t xml:space="preserve">NHS DA:</d:t>
    </d:r>
    <d:r xmlns:d="http://schemas.openxmlformats.org/spreadsheetml/2006/main">
      <d:rPr>
        <d:sz val="11"/>
        <d:color rgb="FF000000"/>
        <d:rFont val="Calibri"/>
      </d:rPr>
      <d:t xml:space="preserve"> Graph of projected bridge conditions for structures on the NHS by deck area.</d:t>
    </d:r>
  </si>
  <si>
    <d:r xmlns:d="http://schemas.openxmlformats.org/spreadsheetml/2006/main">
      <d:rPr>
        <d:b/>
        <d:sz val="11"/>
        <d:rFont val="Calibri"/>
      </d:rPr>
      <d:t xml:space="preserve">Non-NHS Count:</d:t>
    </d:r>
    <d:r xmlns:d="http://schemas.openxmlformats.org/spreadsheetml/2006/main">
      <d:rPr>
        <d:sz val="11"/>
        <d:color rgb="FF000000"/>
        <d:rFont val="Calibri"/>
      </d:rPr>
      <d:t xml:space="preserve"> Graph of projected bridge conditions for structures not on the NHS by bridge count.</d:t>
    </d:r>
  </si>
  <si>
    <t>example:</t>
  </si>
  <si>
    <d:r xmlns:d="http://schemas.openxmlformats.org/spreadsheetml/2006/main">
      <d:rPr>
        <d:b/>
        <d:sz val="11"/>
        <d:rFont val="Calibri"/>
      </d:rPr>
      <d:t xml:space="preserve">Non-NHS DA:</d:t>
    </d:r>
    <d:r xmlns:d="http://schemas.openxmlformats.org/spreadsheetml/2006/main">
      <d:rPr>
        <d:sz val="11"/>
        <d:color rgb="FF000000"/>
        <d:rFont val="Calibri"/>
      </d:rPr>
      <d:t xml:space="preserve"> Graph of projected bridge conditions for structures not on the NHS by deck area.</d:t>
    </d:r>
  </si>
  <si>
    <d:r xmlns:d="http://schemas.openxmlformats.org/spreadsheetml/2006/main">
      <d:rPr>
        <d:b/>
        <d:sz val="11"/>
        <d:rFont val="Calibri"/>
      </d:rPr>
      <d:t xml:space="preserve">Combined Count:</d:t>
    </d:r>
    <d:r xmlns:d="http://schemas.openxmlformats.org/spreadsheetml/2006/main">
      <d:rPr>
        <d:sz val="11"/>
        <d:color rgb="FF000000"/>
        <d:rFont val="Calibri"/>
      </d:rPr>
      <d:t xml:space="preserve"> Graph of projected bridge conditions for all structures by bridge count.</d:t>
    </d:r>
  </si>
  <si>
    <d:r xmlns:d="http://schemas.openxmlformats.org/spreadsheetml/2006/main">
      <d:rPr>
        <d:b/>
        <d:sz val="11"/>
        <d:rFont val="Calibri"/>
      </d:rPr>
      <d:t xml:space="preserve">Combined DA:</d:t>
    </d:r>
    <d:r xmlns:d="http://schemas.openxmlformats.org/spreadsheetml/2006/main">
      <d:rPr>
        <d:sz val="11"/>
        <d:color rgb="FF000000"/>
        <d:rFont val="Calibri"/>
      </d:rPr>
      <d:t xml:space="preserve"> Graph of projected bridge conditions for all structures by deck area.</d:t>
    </d:r>
  </si>
  <si>
    <t>Brdg_Repl</t>
  </si>
  <si>
    <t xml:space="preserve">Brdg_Repl </t>
  </si>
  <si>
    <d:r xmlns:d="http://schemas.openxmlformats.org/spreadsheetml/2006/main">
      <d:rPr>
        <d:b/>
        <d:sz val="11"/>
        <d:rFont val="Calibri"/>
      </d:rPr>
      <d:t xml:space="preserve">Poor Count:</d:t>
    </d:r>
    <d:r xmlns:d="http://schemas.openxmlformats.org/spreadsheetml/2006/main">
      <d:rPr>
        <d:sz val="11"/>
        <d:color rgb="FF000000"/>
        <d:rFont val="Calibri"/>
      </d:rPr>
      <d:t xml:space="preserve"> Graph showing projected number of structures to be in poor condition throughout analysis period.</d:t>
    </d:r>
  </si>
  <si>
    <t>Bridge replacement is cash flowed over 3 years.</t>
  </si>
  <si>
    <d:r xmlns:d="http://schemas.openxmlformats.org/spreadsheetml/2006/main">
      <d:rPr>
        <d:b/>
        <d:sz val="11"/>
        <d:rFont val="Calibri"/>
      </d:rPr>
      <d:t xml:space="preserve">Poor DA:</d:t>
    </d:r>
    <d:r xmlns:d="http://schemas.openxmlformats.org/spreadsheetml/2006/main">
      <d:rPr>
        <d:sz val="11"/>
        <d:color rgb="FF000000"/>
        <d:rFont val="Calibri"/>
      </d:rPr>
      <d:t xml:space="preserve"> Graph showing projected deck area of structures to be in poor condition throughout analysis period.</d:t>
    </d:r>
  </si>
  <si>
    <d:r xmlns:d="http://schemas.openxmlformats.org/spreadsheetml/2006/main">
      <d:rPr>
        <d:b/>
        <d:sz val="11"/>
        <d:rFont val="Calibri"/>
      </d:rPr>
      <d:t xml:space="preserve">Poor DA by BPN:</d:t>
    </d:r>
    <d:r xmlns:d="http://schemas.openxmlformats.org/spreadsheetml/2006/main">
      <d:rPr>
        <d:sz val="11"/>
        <d:color rgb="FF000000"/>
        <d:rFont val="Calibri"/>
      </d:rPr>
      <d:t xml:space="preserve"> Graph showing projected deck area of structures to be in poor condition, by BPN, throughout analysis period.</d:t>
    </d:r>
  </si>
  <si>
    <d:r xmlns:d="http://schemas.openxmlformats.org/spreadsheetml/2006/main">
      <d:rPr>
        <d:b/>
        <d:sz val="11"/>
        <d:rFont val="Calibri"/>
      </d:rPr>
      <d:t xml:space="preserve">Posted BPN Count:</d:t>
    </d:r>
    <d:r xmlns:d="http://schemas.openxmlformats.org/spreadsheetml/2006/main">
      <d:rPr>
        <d:sz val="11"/>
        <d:color rgb="FF000000"/>
        <d:rFont val="Calibri"/>
      </d:rPr>
      <d:t xml:space="preserve"> Graph showing projected number of structures to be posted based on the GCR Super and not by load capacity calculations. Since it is not possible to perform load calculations at this level, this can be considered a proxy and should be used only for only long-term evaluation.</d:t>
    </d:r>
  </si>
  <si>
    <d:r xmlns:d="http://schemas.openxmlformats.org/spreadsheetml/2006/main">
      <d:rPr>
        <d:b/>
        <d:sz val="11"/>
        <d:rFont val="Calibri"/>
      </d:rPr>
      <d:t xml:space="preserve">Posted BPN DA:</d:t>
    </d:r>
    <d:r xmlns:d="http://schemas.openxmlformats.org/spreadsheetml/2006/main">
      <d:rPr>
        <d:sz val="11"/>
        <d:color rgb="FF000000"/>
        <d:rFont val="Calibri"/>
      </d:rPr>
      <d:t xml:space="preserve"> Graph showing projected deck area of structures to be posted based on the GCR Super and not by load capacity calculations. Since it is not possible to perform load calculations at this level, this can be considered a proxy and should be used only for long-term evaluation.</d:t>
    </d:r>
  </si>
  <si>
    <d:r xmlns:d="http://schemas.openxmlformats.org/spreadsheetml/2006/main">
      <d:rPr>
        <d:b/>
        <d:sz val="11"/>
        <d:rFont val="Calibri"/>
      </d:rPr>
      <d:t xml:space="preserve">Closed BPN Count:</d:t>
    </d:r>
    <d:r xmlns:d="http://schemas.openxmlformats.org/spreadsheetml/2006/main">
      <d:rPr>
        <d:sz val="11"/>
        <d:color rgb="FF000000"/>
        <d:rFont val="Calibri"/>
      </d:rPr>
      <d:t xml:space="preserve"> Graph showing the projected number of structures to be closed based on the min GCR. In order to be considered closed the Min GCR value must be less than 3</d:t>
    </d:r>
  </si>
  <si>
    <d:r xmlns:d="http://schemas.openxmlformats.org/spreadsheetml/2006/main">
      <d:rPr>
        <d:b/>
        <d:sz val="11"/>
        <d:rFont val="Calibri"/>
      </d:rPr>
      <d:t xml:space="preserve">Closed BPN DA:</d:t>
    </d:r>
    <d:r xmlns:d="http://schemas.openxmlformats.org/spreadsheetml/2006/main">
      <d:rPr>
        <d:sz val="11"/>
        <d:color rgb="FF000000"/>
        <d:rFont val="Calibri"/>
      </d:rPr>
      <d:t xml:space="preserve"> Graph showing projected deck area to be closed based on the min GCR. In order to be considered closed the Min GCR value must be less than 3</d:t>
    </d:r>
  </si>
  <si>
    <d:r xmlns:d="http://schemas.openxmlformats.org/spreadsheetml/2006/main">
      <d:rPr>
        <d:b/>
        <d:sz val="11"/>
        <d:rFont val="Calibri"/>
      </d:rPr>
      <d:t xml:space="preserve">Combined Posted and Closed:</d:t>
    </d:r>
    <d:r xmlns:d="http://schemas.openxmlformats.org/spreadsheetml/2006/main">
      <d:rPr>
        <d:sz val="11"/>
        <d:color rgb="FF000000"/>
        <d:rFont val="Calibri"/>
      </d:rPr>
      <d:t xml:space="preserve"> Graph showing the combined number of structures that are projected to be closed and posted</d:t>
    </d:r>
  </si>
  <si>
    <d:r xmlns:d="http://schemas.openxmlformats.org/spreadsheetml/2006/main">
      <d:rPr>
        <d:b/>
        <d:sz val="11"/>
        <d:rFont val="Calibri"/>
      </d:rPr>
      <d:t xml:space="preserve">$ Needed DA BPN:</d:t>
    </d:r>
    <d:r xmlns:d="http://schemas.openxmlformats.org/spreadsheetml/2006/main">
      <d:rPr>
        <d:sz val="11"/>
        <d:color rgb="FF000000"/>
        <d:rFont val="Calibri"/>
      </d:rPr>
      <d:t xml:space="preserve"> Graph showing the amount of money spent by BPN</d:t>
    </d:r>
  </si>
  <si>
    <t>• For individual bridge column definitions, please see Pub 100A</t>
  </si>
  <si>
    <t>• For other publications please see below,</t>
  </si>
  <si>
    <t>This software is provided on “as is” basis, and by using the software you acknowledge and agree that you are doing so at your own risk. While reasonable efforts have been made to ensure the accuracy and reliability of the software, no guarantee is made regarding the correctness, completeness, or suitability of any models, predictions or results it generates. Under no circumstances shall the software developers or distributors be held liable for any loss, damage, or other consequences arising from the use of the software or its outputs. Users assume full responsibility for any decisions made based on software use.</t>
  </si>
  <si>
    <t>Asset ID</t>
  </si>
  <si>
    <t>Ownership</t>
  </si>
  <si>
    <t>Structure</t>
  </si>
  <si>
    <t>Network</t>
  </si>
  <si>
    <t>Asset Attributes</t>
  </si>
  <si>
    <t>Funding</t>
  </si>
  <si>
    <t xml:space="preserve">Internet
Report</t>
  </si>
  <si>
    <t>Bridge (B/C)</t>
  </si>
  <si>
    <t xml:space="preserve">BridgeID
(5A01)</t>
  </si>
  <si>
    <t xml:space="preserve">BRKey
(5A03)</t>
  </si>
  <si>
    <t xml:space="preserve">District
(5A04)</t>
  </si>
  <si>
    <t xml:space="preserve">County
(5A05)</t>
  </si>
  <si>
    <t xml:space="preserve">Owner Code
(5A21)</t>
  </si>
  <si>
    <t xml:space="preserve">Submitting Agency
(6A06)</t>
  </si>
  <si>
    <t xml:space="preserve">Planning Partner
(5A13)</t>
  </si>
  <si>
    <t xml:space="preserve">City / Town / Place
(5A06)</t>
  </si>
  <si>
    <t xml:space="preserve">Feature Intersected
(5A07)</t>
  </si>
  <si>
    <t xml:space="preserve">Facility Carried
(5A08)</t>
  </si>
  <si>
    <t xml:space="preserve">Location / Structure Name
(5A02)</t>
  </si>
  <si>
    <t xml:space="preserve">Maintenance Responsibility
(5A20)</t>
  </si>
  <si>
    <t xml:space="preserve">Structure Length
(5B18)</t>
  </si>
  <si>
    <t>Deck Area (5B19)</t>
  </si>
  <si>
    <t>Large Bridge</t>
  </si>
  <si>
    <t>Span Type</t>
  </si>
  <si>
    <t>Bridge Family</t>
  </si>
  <si>
    <t xml:space="preserve">Struct Type
(6A26-29)</t>
  </si>
  <si>
    <t>Fractural Critical</t>
  </si>
  <si>
    <t xml:space="preserve">Parallel Structure
(5E02)</t>
  </si>
  <si>
    <t xml:space="preserve">Functional Class
(5C22)</t>
  </si>
  <si>
    <t xml:space="preserve">NHS
(5C29)</t>
  </si>
  <si>
    <t xml:space="preserve">NBIS Len
(5E01)</t>
  </si>
  <si>
    <t xml:space="preserve">BPN
(6A19)</t>
  </si>
  <si>
    <t>Interstate</t>
  </si>
  <si>
    <t xml:space="preserve">Deck Surface Type
(5B02)</t>
  </si>
  <si>
    <t xml:space="preserve">Wearing Surface Cond
(6B40)</t>
  </si>
  <si>
    <t xml:space="preserve">Paint Cond
(6B36)</t>
  </si>
  <si>
    <t xml:space="preserve">Paint Ext
(6B37)</t>
  </si>
  <si>
    <t xml:space="preserve">Year Built
(5A15)</t>
  </si>
  <si>
    <t>Age</t>
  </si>
  <si>
    <t xml:space="preserve">ADTT
(5C10)</t>
  </si>
  <si>
    <t>Risk Score</t>
  </si>
  <si>
    <t xml:space="preserve">Detour Length
(5C15)</t>
  </si>
  <si>
    <t xml:space="preserve">Posting Status
(VP02)</t>
  </si>
  <si>
    <t xml:space="preserve">Suff Rating
(4A13)</t>
  </si>
  <si>
    <t xml:space="preserve">Leaking Joints
</t>
  </si>
  <si>
    <t>Scour Critical</t>
  </si>
  <si>
    <t xml:space="preserve">HBRR Elig
(6B41)</t>
  </si>
  <si>
    <t xml:space="preserve">P3
(5E24)</t>
  </si>
  <si>
    <t xml:space="preserve">Federal Aid
(6C06)</t>
  </si>
  <si>
    <t>Bridge Funding</t>
  </si>
  <si>
    <t xml:space="preserve">Work Done
2026</t>
  </si>
  <si>
    <t xml:space="preserve">Work Done
2027</t>
  </si>
  <si>
    <t xml:space="preserve">Work Done
2028</t>
  </si>
  <si>
    <t xml:space="preserve">Work Done
2029</t>
  </si>
  <si>
    <t xml:space="preserve">Work Done
2030</t>
  </si>
  <si>
    <t xml:space="preserve">Work Done
2031</t>
  </si>
  <si>
    <t xml:space="preserve">Work Done
2032</t>
  </si>
  <si>
    <t xml:space="preserve">Work Done
2033</t>
  </si>
  <si>
    <t xml:space="preserve">Work Done
2034</t>
  </si>
  <si>
    <t xml:space="preserve">Work Done
2035</t>
  </si>
  <si>
    <t xml:space="preserve">Work Done
2036</t>
  </si>
  <si>
    <t xml:space="preserve">Work Done
Y/N</t>
  </si>
  <si>
    <t xml:space="preserve">Work Done
&gt; 1</t>
  </si>
  <si>
    <t xml:space="preserve">Total
Work Done
&gt; 1</t>
  </si>
  <si>
    <t>Poor On/Off Rate</t>
  </si>
  <si>
    <t>NHPP</t>
  </si>
  <si>
    <t>STP</t>
  </si>
  <si>
    <t>BOF</t>
  </si>
  <si>
    <t>BRIP</t>
  </si>
  <si>
    <t>State</t>
  </si>
  <si>
    <t>N/A</t>
  </si>
  <si>
    <t xml:space="preserve">GCR
Deck</t>
  </si>
  <si>
    <t xml:space="preserve">GCR
Sup</t>
  </si>
  <si>
    <t xml:space="preserve">GCR
Sub</t>
  </si>
  <si>
    <t xml:space="preserve">GCR
Culv</t>
  </si>
  <si>
    <t xml:space="preserve">Deck
Dur</t>
  </si>
  <si>
    <t xml:space="preserve">Super
Dur</t>
  </si>
  <si>
    <t xml:space="preserve">Sub
Dur</t>
  </si>
  <si>
    <t xml:space="preserve">Culv
Dur</t>
  </si>
  <si>
    <t xml:space="preserve">Min
GCR</t>
  </si>
  <si>
    <t>Poor</t>
  </si>
  <si>
    <t>Project Pick</t>
  </si>
  <si>
    <t>Project Id</t>
  </si>
  <si>
    <t>Budget</t>
  </si>
  <si>
    <t>Recommended Treatment</t>
  </si>
  <si>
    <t>Cost</t>
  </si>
  <si>
    <t>Superseded Treatments</t>
  </si>
  <si>
    <t xml:space="preserve">FHWA
Work Types</t>
  </si>
  <si>
    <t>Comments</t>
  </si>
  <si>
    <t>Work</t>
  </si>
  <si>
    <t>Local</t>
  </si>
  <si>
    <t>B</t>
  </si>
  <si>
    <t>51720104100102</t>
  </si>
  <si>
    <t>04</t>
  </si>
  <si>
    <t>Pike</t>
  </si>
  <si>
    <t>051</t>
  </si>
  <si>
    <t>NEPA RPO</t>
  </si>
  <si>
    <t>SHOHOLA CREEK</t>
  </si>
  <si>
    <t>SPRING ROAD</t>
  </si>
  <si>
    <t>PIERSON BRIDGE, PIKE COUNTY BRIDGE #2</t>
  </si>
  <si>
    <t>County Highway Agency</t>
  </si>
  <si>
    <t>Single</t>
  </si>
  <si>
    <t>Steel, I beams</t>
  </si>
  <si>
    <t>06 - Bituminous (applies only to structures with no deck)</t>
  </si>
  <si>
    <t>POSTED</t>
  </si>
  <si>
    <t>P</t>
  </si>
  <si>
    <t>0 - Not on Federal Route</t>
  </si>
  <si>
    <t xml:space="preserve">culvert replacement (box frame </t>
  </si>
  <si>
    <t>--</t>
  </si>
  <si>
    <t>Yes</t>
  </si>
  <si>
    <t>Off</t>
  </si>
  <si>
    <t>BAMS Pick</t>
  </si>
  <si>
    <t/>
  </si>
  <si>
    <t>51720104140101</t>
  </si>
  <si>
    <t>BLOOMING GROVE CREEK</t>
  </si>
  <si>
    <t>CHRISTOPHER WAY</t>
  </si>
  <si>
    <t>Co Br #1 (Blooming Grove Twp)</t>
  </si>
  <si>
    <t>5</t>
  </si>
  <si>
    <t>P/S, Box beam - adj</t>
  </si>
  <si>
    <t>OPEN</t>
  </si>
  <si>
    <t>superstructure rep rehab</t>
  </si>
  <si>
    <t>51720203140005</t>
  </si>
  <si>
    <t>202</t>
  </si>
  <si>
    <t>HORNBECKS CREEK</t>
  </si>
  <si>
    <t>T314 LOG &amp; TWIG RD</t>
  </si>
  <si>
    <t>T-314, Delaware Twp</t>
  </si>
  <si>
    <t>Town or Township Highway Agency</t>
  </si>
  <si>
    <t>51720304240105</t>
  </si>
  <si>
    <t>RATTLESNAKE CREEK</t>
  </si>
  <si>
    <t>SPRING BROOK ROAD</t>
  </si>
  <si>
    <t>PIKE COUNTY BRIDGE #5</t>
  </si>
  <si>
    <t>Concr. encased steel, I beams</t>
  </si>
  <si>
    <t>bridge replacement</t>
  </si>
  <si>
    <t>51720403740005</t>
  </si>
  <si>
    <t>204</t>
  </si>
  <si>
    <t>SUGAR HILL CREEK</t>
  </si>
  <si>
    <t>T-374 MTN VIEW RD</t>
  </si>
  <si>
    <t>T-374 Bridge, Greene Twp</t>
  </si>
  <si>
    <t>51720403660106</t>
  </si>
  <si>
    <t>TAYLOR CREEK</t>
  </si>
  <si>
    <t>CARLTON ROAD</t>
  </si>
  <si>
    <t>PIKE COUNTY BRIDGE #6</t>
  </si>
  <si>
    <t>general preservation</t>
  </si>
  <si>
    <t>51720403720005</t>
  </si>
  <si>
    <t>BRIDGE CREEK</t>
  </si>
  <si>
    <t>T-372 SAWMILL ROAD</t>
  </si>
  <si>
    <t>T-372 Bridge #1, Greene Twp</t>
  </si>
  <si>
    <t>51720403720010</t>
  </si>
  <si>
    <t>T-372 Bridge #2, Greene Twp</t>
  </si>
  <si>
    <t>51720403780005</t>
  </si>
  <si>
    <t>E BR WALLENPAUPACK CREEK</t>
  </si>
  <si>
    <t>T-378 CREEK ROAD</t>
  </si>
  <si>
    <t>T-378 Bridge, Greene Twp</t>
  </si>
  <si>
    <t>51720403900005</t>
  </si>
  <si>
    <t>MOZETTE CREEK</t>
  </si>
  <si>
    <t>T-390 MOZETTE RD</t>
  </si>
  <si>
    <t>T-390 Bridge, Greene Twp</t>
  </si>
  <si>
    <t>51720504380005</t>
  </si>
  <si>
    <t>205</t>
  </si>
  <si>
    <t>BALLIARD CREEK</t>
  </si>
  <si>
    <t>T-438 HERZOG RD</t>
  </si>
  <si>
    <t>T-438 Bridge, Lackwaxen Twp</t>
  </si>
  <si>
    <t>51720504920112</t>
  </si>
  <si>
    <t>WEST FALLS CREEK</t>
  </si>
  <si>
    <t>T-492 CHURCH RD</t>
  </si>
  <si>
    <t>Co Br #12 (Lackawaxen Twp)</t>
  </si>
  <si>
    <t>51720504950005</t>
  </si>
  <si>
    <t>DECKER CREEK</t>
  </si>
  <si>
    <t>T406 HENDERSHOT RD</t>
  </si>
  <si>
    <t>T-406 Bridge, Lackawaxen Twp</t>
  </si>
  <si>
    <t>51720603010116</t>
  </si>
  <si>
    <t>LITTLE BUSHKILL CREEK</t>
  </si>
  <si>
    <t>T301(CO.BR.16)</t>
  </si>
  <si>
    <t>BUSHKILL,-PETERS MILL</t>
  </si>
  <si>
    <t>6</t>
  </si>
  <si>
    <t>51720603020119</t>
  </si>
  <si>
    <t>BUSHKILL CREEK</t>
  </si>
  <si>
    <t>T-301 WINONA FALLS</t>
  </si>
  <si>
    <t>Co Br #19 (Lehman Twp)</t>
  </si>
  <si>
    <t>Multi</t>
  </si>
  <si>
    <t>leaking deck joint replacement</t>
  </si>
  <si>
    <t>51720603050118</t>
  </si>
  <si>
    <t>T-305 E SUGAR MTN</t>
  </si>
  <si>
    <t>Co Br #18 (Lehman Twp)</t>
  </si>
  <si>
    <t>51720803510005</t>
  </si>
  <si>
    <t>208</t>
  </si>
  <si>
    <t>KLEINHANS CREEK</t>
  </si>
  <si>
    <t>T351 OLD GREENTOWN</t>
  </si>
  <si>
    <t>T-351 Bridge, Palmyra Twp</t>
  </si>
  <si>
    <t>51721004400010</t>
  </si>
  <si>
    <t>210</t>
  </si>
  <si>
    <t>TRIB. TO SHOHOLA CREEK</t>
  </si>
  <si>
    <t>T440 (TWP. BR. 2)</t>
  </si>
  <si>
    <t>T-440 Bridge #2, Shohola Twp</t>
  </si>
  <si>
    <t>51721004400124</t>
  </si>
  <si>
    <t>SHOHOLA FALLS ROAD</t>
  </si>
  <si>
    <t>PIKE COUNTY BRIDGE #24</t>
  </si>
  <si>
    <t>Concrete(in place), Arch deck - closed</t>
  </si>
  <si>
    <t>N - Not applicable</t>
  </si>
  <si>
    <t>51740203930122</t>
  </si>
  <si>
    <t>VANDERMARK CREEK</t>
  </si>
  <si>
    <t>BROAD STREET</t>
  </si>
  <si>
    <t>PIKE COUNTY BRIDGE #22</t>
  </si>
  <si>
    <t>Masonry, Arch deck - closed</t>
  </si>
  <si>
    <t>51740204250120</t>
  </si>
  <si>
    <t>SAWKILL CREEK</t>
  </si>
  <si>
    <t>T425(CO.BR.NO.20)</t>
  </si>
  <si>
    <t>Co Br #20 (Milford Boro)</t>
  </si>
  <si>
    <t>BridgeID</t>
  </si>
  <si>
    <t xml:space="preserve">BRKey
(Hyperlink)</t>
  </si>
  <si>
    <t>District</t>
  </si>
  <si>
    <t>County</t>
  </si>
  <si>
    <t>MPO/RPO</t>
  </si>
  <si>
    <t>City/Town/Place</t>
  </si>
  <si>
    <t xml:space="preserve">Feature
intersected</t>
  </si>
  <si>
    <t xml:space="preserve">Facility
Carried</t>
  </si>
  <si>
    <t>Location/StructureName</t>
  </si>
  <si>
    <t xml:space="preserve">Bridge
Length</t>
  </si>
  <si>
    <t xml:space="preserve">Deck
Area</t>
  </si>
  <si>
    <t xml:space="preserve">Large
Bridge</t>
  </si>
  <si>
    <t xml:space="preserve">Structure
Type</t>
  </si>
  <si>
    <t xml:space="preserve">Functional
Class</t>
  </si>
  <si>
    <t>BPN</t>
  </si>
  <si>
    <t xml:space="preserve">Risk
Score</t>
  </si>
  <si>
    <t>Analysis Year(s)</t>
  </si>
  <si>
    <t>Treatment</t>
  </si>
  <si>
    <t xml:space="preserve">Yearly
Cost</t>
  </si>
  <si>
    <t xml:space="preserve">Total Project
Cost</t>
  </si>
  <si>
    <t>Prior GCR</t>
  </si>
  <si>
    <t xml:space="preserve">Prior
MIN</t>
  </si>
  <si>
    <t>Resulting GCR</t>
  </si>
  <si>
    <t xml:space="preserve">Resulting
MIN</t>
  </si>
  <si>
    <t>Start</t>
  </si>
  <si>
    <t>End</t>
  </si>
  <si>
    <t>DECK</t>
  </si>
  <si>
    <t>SUP</t>
  </si>
  <si>
    <t>SUB</t>
  </si>
  <si>
    <t>CULV</t>
  </si>
  <si>
    <t>BAMS Pick CFB</t>
  </si>
  <si>
    <t xml:space="preserve">Analysis
Year</t>
  </si>
  <si>
    <t xml:space="preserve">GCR
DECK</t>
  </si>
  <si>
    <t xml:space="preserve">GCR
SUP</t>
  </si>
  <si>
    <t xml:space="preserve">GCR
SUB</t>
  </si>
  <si>
    <t xml:space="preserve">GCR
CULV</t>
  </si>
  <si>
    <t xml:space="preserve">DECK
DUR</t>
  </si>
  <si>
    <t xml:space="preserve">SUP
DUR</t>
  </si>
  <si>
    <t xml:space="preserve">SUB
DUR</t>
  </si>
  <si>
    <t xml:space="preserve">CULV
DUR</t>
  </si>
  <si>
    <t>Unfunded Treatment</t>
  </si>
  <si>
    <t>Total Unfunded Amount:</t>
  </si>
  <si>
    <t>STATE</t>
  </si>
  <si>
    <t>Budget Analysis</t>
  </si>
  <si>
    <t>Total Remaining Budget(all years)</t>
  </si>
  <si>
    <t>Remaining Budget</t>
  </si>
  <si>
    <t>Percentage of Total Budget that was Unspent</t>
  </si>
  <si>
    <t>Percent Budget Spent BAMS</t>
  </si>
  <si>
    <t>Percent Budget Spent Committed</t>
  </si>
  <si>
    <t>Percent Budget Spent MPMS</t>
  </si>
  <si>
    <t>Percent Budget Spent SAP</t>
  </si>
  <si>
    <t>Percent Budget Spent Project Builder</t>
  </si>
  <si>
    <t>Committed Work Type</t>
  </si>
  <si>
    <t>Cost of Committed Work</t>
  </si>
  <si>
    <t>Committed Total</t>
  </si>
  <si>
    <t>MPMS Work Type</t>
  </si>
  <si>
    <t>Cost of MPMS Work</t>
  </si>
  <si>
    <t>SAP Work Type</t>
  </si>
  <si>
    <t>Cost of SAP Work</t>
  </si>
  <si>
    <t>SAP Total</t>
  </si>
  <si>
    <t>-</t>
  </si>
  <si>
    <t>Project Builder Work Type</t>
  </si>
  <si>
    <t>Cost of Project Builder Work</t>
  </si>
  <si>
    <t>Project Builder Total</t>
  </si>
  <si>
    <t>BAMS Culvert Work Type</t>
  </si>
  <si>
    <t>Cost of BAMS Culvert Work</t>
  </si>
  <si>
    <t>Culvert Total</t>
  </si>
  <si>
    <t>BAMS Bridge Work Type</t>
  </si>
  <si>
    <t>Cost of BAMS Bridge Work</t>
  </si>
  <si>
    <t>Bridge Total</t>
  </si>
  <si>
    <t>Work Type Totals</t>
  </si>
  <si>
    <t>Total (all years)</t>
  </si>
  <si>
    <t>Percentage Spent on MAINTENANCE</t>
  </si>
  <si>
    <t>Percentage Spent on PRESERVATION</t>
  </si>
  <si>
    <t>Percentage Spent on REHABILITATION</t>
  </si>
  <si>
    <t>Percentage Spent on REPLACEMENT</t>
  </si>
  <si>
    <t>Capacity Adding</t>
  </si>
  <si>
    <t>Percentage Spent on CAPACITY ADDING</t>
  </si>
  <si>
    <t>Other</t>
  </si>
  <si>
    <t>Percentage Spent on OTHER</t>
  </si>
  <si>
    <t>Bundled</t>
  </si>
  <si>
    <t>Percentage Spent on BUNDLED</t>
  </si>
  <si>
    <t>Total Spent</t>
  </si>
  <si>
    <t>Total Bridge Care Budget</t>
  </si>
  <si>
    <t>Work Outside Scope/Jurisdiction</t>
  </si>
  <si>
    <t>Total Cost Per BPN</t>
  </si>
  <si>
    <t>BPN 1</t>
  </si>
  <si>
    <t>BPN 2</t>
  </si>
  <si>
    <t>BPN 3</t>
  </si>
  <si>
    <t>BPN 4</t>
  </si>
  <si>
    <t>BPN L</t>
  </si>
  <si>
    <t>BPN Other (BPN D, BPN H,BPN N, BPN T)</t>
  </si>
  <si>
    <t>Total BPN Cost</t>
  </si>
  <si>
    <t>Number of MPMS Projects Worked On</t>
  </si>
  <si>
    <t>Total</t>
  </si>
  <si>
    <t>Culvert Work Type</t>
  </si>
  <si>
    <t>Number of Culverts Worked on</t>
  </si>
  <si>
    <t>Bridge Work Type</t>
  </si>
  <si>
    <t>Number of Bridges Worked on</t>
  </si>
  <si>
    <t>Bridge and Culvert Work Types</t>
  </si>
  <si>
    <t>Number of Bridges and Culverts Worked on</t>
  </si>
  <si>
    <t>Poor Bridge On and Off Rate</t>
  </si>
  <si>
    <t># Bridge On</t>
  </si>
  <si>
    <t># Bridge On - NHS</t>
  </si>
  <si>
    <t># Bridge On - Non NHS</t>
  </si>
  <si>
    <t># Bridge On - BPN 1</t>
  </si>
  <si>
    <t># Bridge On - BPN 2</t>
  </si>
  <si>
    <t># Bridge On - BPN 3</t>
  </si>
  <si>
    <t># Bridge On - BPN 4</t>
  </si>
  <si>
    <t># Bridge On - BPN L</t>
  </si>
  <si>
    <t># Bridge On - BPN D</t>
  </si>
  <si>
    <t># Bridge On - BPN H</t>
  </si>
  <si>
    <t># Bridge On - BPN N</t>
  </si>
  <si>
    <t># Bridge On - BPN T</t>
  </si>
  <si>
    <t># Bridge Off</t>
  </si>
  <si>
    <t>Total Poor Bridges Count</t>
  </si>
  <si>
    <t>Overall</t>
  </si>
  <si>
    <t>Non NHS</t>
  </si>
  <si>
    <t>BPN D</t>
  </si>
  <si>
    <t>BPN H</t>
  </si>
  <si>
    <t>BPN N</t>
  </si>
  <si>
    <t>BPN T</t>
  </si>
  <si>
    <t>Total Poor Bridges Deck Area</t>
  </si>
  <si>
    <t>Total Bridge Count</t>
  </si>
  <si>
    <t>Good</t>
  </si>
  <si>
    <t>Fair</t>
  </si>
  <si>
    <t>Total Bridge Count Percentage</t>
  </si>
  <si>
    <t>Total Deck Area</t>
  </si>
  <si>
    <t>Total Deck Area Percentage</t>
  </si>
  <si>
    <t>NHS Bridge Count</t>
  </si>
  <si>
    <t>NHS Bridge Count Percentage</t>
  </si>
  <si>
    <t>Non-NHS Bridge Count</t>
  </si>
  <si>
    <t>Non-NHS Bridge Count Percentage</t>
  </si>
  <si>
    <t>NHS Bridge Deck Area</t>
  </si>
  <si>
    <t>NHS Bridge Deck Area Percentage</t>
  </si>
  <si>
    <t>Non-NHS Deck Area</t>
  </si>
  <si>
    <t>Non-NHS Bridge Deck Area Percentage</t>
  </si>
  <si>
    <t>Poor Deck Area</t>
  </si>
  <si>
    <t>Posted Bridges - Count</t>
  </si>
  <si>
    <t>Posted Bridges - Deck Area</t>
  </si>
  <si>
    <t>Closed Bridges - Count</t>
  </si>
  <si>
    <t>Closed Bridges - Deck Area</t>
  </si>
  <si>
    <t>Dollar Needs By BPN</t>
  </si>
  <si>
    <t>Annualized Amount</t>
  </si>
  <si>
    <t>Dollars Spent on MPMS Projects by County</t>
  </si>
  <si>
    <t>District: 4</t>
  </si>
  <si>
    <t>LACKAWANNA</t>
  </si>
  <si>
    <t>LUZERNE</t>
  </si>
  <si>
    <t>PIKE</t>
  </si>
  <si>
    <t>SUSQUEHANNA</t>
  </si>
  <si>
    <t>WAYNE</t>
  </si>
  <si>
    <t>WYOMING</t>
  </si>
  <si>
    <t>District 04 Total</t>
  </si>
  <si>
    <t>Turnpike</t>
  </si>
  <si>
    <t>State Total</t>
  </si>
  <si>
    <t>Dollars Spent on BAMS Projects by County</t>
  </si>
  <si>
    <t>Overall Dollars Spent on Projects by District</t>
  </si>
  <si>
    <t>% of Overall Dollars Spent on Projects by District</t>
  </si>
  <si>
    <t>Year</t>
  </si>
</sst>
</file>

<file path=xl/styles.xml><?xml version="1.0" encoding="utf-8"?>
<styleSheet xmlns="http://schemas.openxmlformats.org/spreadsheetml/2006/main">
  <numFmts count="11">
    <numFmt numFmtId="164" formatCode="_-* #,##0_-;* (#,##0)_-;_-* &quot;-&quot;??_-;_-@_-"/>
    <numFmt numFmtId="165" formatCode="_-$* #,##0_-;$* (#,##0)_-;_-$* &quot;-&quot;??_-;_-@_-"/>
    <numFmt numFmtId="166" formatCode="#0.000"/>
    <numFmt numFmtId="167" formatCode="_-$* #,##0.00_-;-$* #,##0.00_-;_-$* &quot;-&quot;??_-;_-@_-"/>
    <numFmt numFmtId="168" formatCode="###,###,###,###,##0"/>
    <numFmt numFmtId="169" formatCode="_($* #,##0_);_($*  #,##0);_($* &quot; - &quot;??_);(@_)"/>
    <numFmt numFmtId="170" formatCode="0.000"/>
    <numFmt numFmtId="171" formatCode="#0%"/>
    <numFmt numFmtId="172" formatCode="_-$* #,##0.00_-;_-$* #,##0.00_-;_-$* &quot;-&quot;??_-;_-@_-"/>
    <numFmt numFmtId="173" formatCode="#0.00%"/>
    <numFmt numFmtId="174" formatCode="_-$* #,##0_-;_-$* #,##0_-;_-$* &quot;-&quot;??_-;_-@_-"/>
  </numFmts>
  <fonts count="7">
    <font>
      <sz val="11"/>
      <name val="Calibri"/>
    </font>
    <font>
      <b/>
      <sz val="11"/>
      <name val="Calibri"/>
    </font>
    <font>
      <sz val="11"/>
      <color rgb="FFFF0000" tint="0"/>
      <name val="Calibri"/>
    </font>
    <font>
      <sz val="11"/>
      <color rgb="FFFFFFFF" tint="0"/>
      <name val="Calibri"/>
    </font>
    <font>
      <i/>
      <sz val="11"/>
      <name val="Calibri"/>
    </font>
    <font>
      <u/>
      <sz val="11"/>
      <color rgb="FF0000FF" tint="0"/>
      <name val="Calibri"/>
    </font>
    <font>
      <b/>
      <sz val="11"/>
      <color rgb="FFFFFFFF" tint="0"/>
      <name val="Calibri"/>
    </font>
  </fonts>
  <fills count="29">
    <fill>
      <patternFill patternType="none"/>
    </fill>
    <fill>
      <patternFill patternType="gray125"/>
    </fill>
    <fill>
      <patternFill patternType="solid">
        <fgColor rgb="FF00FF00" tint="0"/>
      </patternFill>
    </fill>
    <fill>
      <patternFill patternType="solid">
        <fgColor rgb="FFFFA500" tint="0"/>
      </patternFill>
    </fill>
    <fill>
      <patternFill patternType="solid">
        <fgColor rgb="FF800080" tint="0"/>
      </patternFill>
    </fill>
    <fill>
      <patternFill patternType="solid">
        <fgColor rgb="FFBDD7EE" tint="0"/>
      </patternFill>
    </fill>
    <fill>
      <patternFill patternType="solid">
        <fgColor rgb="FFC6E0B4" tint="0"/>
      </patternFill>
    </fill>
    <fill>
      <patternFill patternType="solid">
        <fgColor rgb="FFF8CBAD" tint="0"/>
      </patternFill>
    </fill>
    <fill>
      <patternFill patternType="solid">
        <fgColor rgb="FFACB9CA" tint="0"/>
      </patternFill>
    </fill>
    <fill>
      <patternFill patternType="solid">
        <fgColor rgb="FFFFF2CC" tint="0"/>
      </patternFill>
    </fill>
    <fill>
      <patternFill patternType="solid">
        <fgColor rgb="FFE2EFDA" tint="0"/>
      </patternFill>
    </fill>
    <fill>
      <patternFill patternType="solid">
        <fgColor rgb="FFD9E1F2" tint="0"/>
      </patternFill>
    </fill>
    <fill>
      <patternFill patternType="solid">
        <fgColor rgb="FFB4C6E7" tint="0"/>
      </patternFill>
    </fill>
    <fill>
      <patternFill patternType="solid">
        <fgColor rgb="FF808080" tint="0"/>
      </patternFill>
    </fill>
    <fill>
      <patternFill patternType="solid">
        <fgColor rgb="FFD3D3D3" tint="0"/>
      </patternFill>
    </fill>
    <fill>
      <patternFill patternType="solid">
        <fgColor rgb="FF7030A0" tint="0"/>
      </patternFill>
    </fill>
    <fill>
      <patternFill patternType="solid">
        <fgColor rgb="FF8EA9DB" tint="0"/>
      </patternFill>
    </fill>
    <fill>
      <patternFill patternType="solid">
        <fgColor rgb="FF696969" tint="0"/>
      </patternFill>
    </fill>
    <fill>
      <patternFill patternType="solid">
        <fgColor rgb="FF008000" tint="0"/>
      </patternFill>
    </fill>
    <fill>
      <patternFill patternType="solid">
        <fgColor rgb="FF548235" tint="0"/>
      </patternFill>
    </fill>
    <fill>
      <patternFill patternType="solid">
        <fgColor rgb="FFD9D9D9" tint="0"/>
      </patternFill>
    </fill>
    <fill>
      <patternFill patternType="solid">
        <fgColor rgb="FFFFE699" tint="0"/>
      </patternFill>
    </fill>
    <fill>
      <patternFill patternType="solid">
        <fgColor rgb="FFFF0000" tint="0"/>
      </patternFill>
    </fill>
    <fill>
      <patternFill patternType="solid">
        <fgColor rgb="FFB0C4DE" tint="0"/>
      </patternFill>
    </fill>
    <fill>
      <patternFill patternType="solid">
        <fgColor rgb="FF708090" tint="0"/>
      </patternFill>
    </fill>
    <fill>
      <patternFill patternType="solid">
        <fgColor rgb="FFADD8E6" tint="0"/>
      </patternFill>
    </fill>
    <fill>
      <patternFill patternType="solid">
        <fgColor rgb="FF8FBC8F" tint="0"/>
      </patternFill>
    </fill>
    <fill>
      <patternFill patternType="solid">
        <fgColor rgb="FF375623" tint="0"/>
      </patternFill>
    </fill>
    <fill>
      <patternFill patternType="solid">
        <fgColor rgb="FF0070C0" tint="0"/>
      </patternFill>
    </fill>
  </fills>
  <borders count="5">
    <border>
      <left/>
      <right/>
      <top/>
      <bottom/>
      <diagonal/>
    </border>
    <border>
      <left style="thin"/>
      <right style="thin"/>
      <top style="thin"/>
      <bottom style="thin"/>
      <diagonal/>
    </border>
    <border>
      <left style="thin"/>
      <right/>
      <top/>
      <bottom/>
      <diagonal/>
    </border>
    <border>
      <left/>
      <right style="thin"/>
      <top/>
      <bottom/>
      <diagonal/>
    </border>
    <border>
      <left style="medium"/>
      <right style="medium"/>
      <top style="medium"/>
      <bottom style="medium"/>
      <diagonal/>
    </border>
  </borders>
  <cellStyleXfs count="1">
    <xf numFmtId="0" fontId="0"/>
  </cellStyleXfs>
  <cellXfs count="101">
    <xf numFmtId="0" applyNumberFormat="1" fontId="0" applyFont="1" xfId="0" applyProtection="1"/>
    <xf numFmtId="0" applyNumberFormat="1" fontId="1" applyFont="1" xfId="0" applyProtection="1" applyAlignment="1">
      <alignment horizontal="center"/>
    </xf>
    <xf numFmtId="0" applyNumberFormat="1" fontId="1" applyFont="1" xfId="0" applyProtection="1" applyAlignment="1">
      <alignment horizontal="center" wrapText="1"/>
    </xf>
    <xf numFmtId="0" applyNumberFormat="1" fontId="0" applyFont="1" borderId="1" applyBorder="1" xfId="0" applyProtection="1"/>
    <xf numFmtId="0" applyNumberFormat="1" fontId="0" applyFont="1" borderId="1" applyBorder="1" xfId="0" applyProtection="1" applyAlignment="1">
      <alignment horizontal="right"/>
    </xf>
    <xf numFmtId="0" applyNumberFormat="1" fontId="1" applyFont="1" borderId="1" applyBorder="1" xfId="0" applyProtection="1" applyAlignment="1">
      <alignment horizontal="center"/>
    </xf>
    <xf numFmtId="0" applyNumberFormat="1" fontId="0" applyFont="1" xfId="0" applyProtection="1" applyAlignment="1">
      <alignment horizontal="center"/>
    </xf>
    <xf numFmtId="0" applyNumberFormat="1" fontId="0" applyFont="1" borderId="1" applyBorder="1" xfId="0" applyProtection="1" applyAlignment="1">
      <alignment horizontal="center"/>
    </xf>
    <xf numFmtId="0" applyNumberFormat="1" fontId="2" applyFont="1" fillId="2" applyFill="1" borderId="1" applyBorder="1" xfId="0" applyProtection="1"/>
    <xf numFmtId="0" applyNumberFormat="1" fontId="3" applyFont="1" xfId="0" applyProtection="1"/>
    <xf numFmtId="0" applyNumberFormat="1" fontId="3" applyFont="1" fillId="3" applyFill="1" borderId="1" applyBorder="1" xfId="0" applyProtection="1"/>
    <xf numFmtId="0" applyNumberFormat="1" fontId="3" applyFont="1" fillId="4" applyFill="1" borderId="1" applyBorder="1" xfId="0" applyProtection="1"/>
    <xf numFmtId="0" applyNumberFormat="1" fontId="4" applyFont="1" xfId="0" applyProtection="1" applyAlignment="1">
      <alignment horizontal="center"/>
    </xf>
    <xf numFmtId="0" applyNumberFormat="1" fontId="1" applyFont="1" xfId="0" applyProtection="1" applyAlignment="1">
      <alignment horizontal="left" wrapText="1"/>
    </xf>
    <xf numFmtId="0" applyNumberFormat="1" fontId="5" applyFont="1" xfId="0" applyProtection="1" applyAlignment="1">
      <alignment horizontal="left" wrapText="1"/>
    </xf>
    <xf numFmtId="0" applyNumberFormat="1" fontId="1" applyFont="1" fillId="5" applyFill="1" xfId="0" applyProtection="1" applyAlignment="1">
      <alignment horizontal="center" vertical="center" wrapText="1"/>
    </xf>
    <xf numFmtId="0" applyNumberFormat="1" fontId="1" applyFont="1" xfId="0" applyProtection="1" applyAlignment="1">
      <alignment horizontal="center" vertical="center" wrapText="1"/>
    </xf>
    <xf numFmtId="0" applyNumberFormat="1" fontId="1" applyFont="1" fillId="6" applyFill="1" xfId="0" applyProtection="1" applyAlignment="1">
      <alignment horizontal="center" vertical="center" wrapText="1"/>
    </xf>
    <xf numFmtId="0" applyNumberFormat="1" fontId="1" applyFont="1" fillId="7" applyFill="1" xfId="0" applyProtection="1" applyAlignment="1">
      <alignment horizontal="center" vertical="center" wrapText="1"/>
    </xf>
    <xf numFmtId="0" applyNumberFormat="1" fontId="1" applyFont="1" fillId="8" applyFill="1" xfId="0" applyProtection="1" applyAlignment="1">
      <alignment horizontal="center" vertical="center" wrapText="1"/>
    </xf>
    <xf numFmtId="0" applyNumberFormat="1" fontId="1" applyFont="1" fillId="9" applyFill="1" xfId="0" applyProtection="1" applyAlignment="1">
      <alignment horizontal="center" vertical="center" wrapText="1"/>
    </xf>
    <xf numFmtId="0" applyNumberFormat="1" fontId="1" applyFont="1" fillId="10" applyFill="1" xfId="0" applyProtection="1" applyAlignment="1">
      <alignment horizontal="center" vertical="center" wrapText="1"/>
    </xf>
    <xf numFmtId="0" applyNumberFormat="1" fontId="1" applyFont="1" borderId="1" applyBorder="1" xfId="0" applyProtection="1" applyAlignment="1">
      <alignment horizontal="center" vertical="center" wrapText="1"/>
    </xf>
    <xf numFmtId="0" applyNumberFormat="1" fontId="0" applyFont="1" borderId="1" applyBorder="1" xfId="0" applyProtection="1" applyAlignment="1">
      <alignment horizontal="center" vertical="center"/>
    </xf>
    <xf numFmtId="0" applyNumberFormat="1" fontId="0" applyFont="1" fillId="13" applyFill="1" xfId="0" applyProtection="1"/>
    <xf numFmtId="0" applyNumberFormat="1" fontId="1" applyFont="1" fillId="13" applyFill="1" xfId="0" applyProtection="1" applyAlignment="1">
      <alignment horizontal="center" vertical="center" wrapText="1"/>
    </xf>
    <xf numFmtId="0" applyNumberFormat="1" fontId="1" applyFont="1" fillId="11" applyFill="1" borderId="1" applyBorder="1" xfId="0" applyProtection="1" applyAlignment="1">
      <alignment horizontal="center" vertical="center" wrapText="1"/>
    </xf>
    <xf numFmtId="0" applyNumberFormat="1" fontId="1" applyFont="1" fillId="12" applyFill="1" borderId="1" applyBorder="1" xfId="0" applyProtection="1" applyAlignment="1">
      <alignment horizontal="center" vertical="center" wrapText="1"/>
    </xf>
    <xf numFmtId="164" applyNumberFormat="1" fontId="1" applyFont="1" fillId="12" applyFill="1" borderId="1" applyBorder="1" xfId="0" applyProtection="1" applyAlignment="1">
      <alignment horizontal="center" vertical="center" wrapText="1"/>
    </xf>
    <xf numFmtId="0" applyNumberFormat="1" fontId="0" applyFont="1" fillId="13" applyFill="1" borderId="1" applyBorder="1" xfId="0" applyProtection="1"/>
    <xf numFmtId="0" applyNumberFormat="1" fontId="1" applyFont="1" fillId="10" applyFill="1" borderId="1" applyBorder="1" xfId="0" applyProtection="1" applyAlignment="1">
      <alignment horizontal="center" vertical="center" wrapText="1"/>
    </xf>
    <xf numFmtId="0" applyNumberFormat="1" fontId="1" applyFont="1" fillId="14" applyFill="1" borderId="1" applyBorder="1" xfId="0" applyProtection="1" applyAlignment="1">
      <alignment horizontal="center" vertical="center" wrapText="1"/>
    </xf>
    <xf numFmtId="0" applyNumberFormat="1" fontId="1" applyFont="1" fillId="13" applyFill="1" borderId="1" applyBorder="1" xfId="0" applyProtection="1" applyAlignment="1">
      <alignment horizontal="center" vertical="center" wrapText="1"/>
    </xf>
    <xf numFmtId="164" applyNumberFormat="1" fontId="0" applyFont="1" xfId="0" applyProtection="1"/>
    <xf numFmtId="164" applyNumberFormat="1" fontId="0" applyFont="1" xfId="0" applyProtection="1" applyAlignment="1">
      <alignment horizontal="center"/>
    </xf>
    <xf numFmtId="0" applyNumberFormat="1" fontId="0" applyFont="1" fillId="14" applyFill="1" xfId="0" applyProtection="1"/>
    <xf numFmtId="0" applyNumberFormat="1" fontId="0" applyFont="1" fillId="14" applyFill="1" xfId="0" applyProtection="1" applyAlignment="1">
      <alignment horizontal="center"/>
    </xf>
    <xf numFmtId="164" applyNumberFormat="1" fontId="0" applyFont="1" fillId="14" applyFill="1" xfId="0" applyProtection="1"/>
    <xf numFmtId="164" applyNumberFormat="1" fontId="0" applyFont="1" fillId="14" applyFill="1" xfId="0" applyProtection="1" applyAlignment="1">
      <alignment horizontal="center"/>
    </xf>
    <xf numFmtId="165" applyNumberFormat="1" fontId="0" applyFont="1" xfId="0" applyProtection="1"/>
    <xf numFmtId="165" applyNumberFormat="1" fontId="0" applyFont="1" fillId="14" applyFill="1" xfId="0" applyProtection="1"/>
    <xf numFmtId="0" applyNumberFormat="1" fontId="0" applyFont="1" fillId="14" applyFill="1" borderId="2" applyBorder="1" xfId="0" applyProtection="1"/>
    <xf numFmtId="165" applyNumberFormat="1" fontId="0" applyFont="1" fillId="14" applyFill="1" borderId="3" applyBorder="1" xfId="0" applyProtection="1"/>
    <xf numFmtId="0" applyNumberFormat="1" fontId="0" applyFont="1" borderId="2" applyBorder="1" xfId="0" applyProtection="1"/>
    <xf numFmtId="165" applyNumberFormat="1" fontId="0" applyFont="1" borderId="3" applyBorder="1" xfId="0" applyProtection="1"/>
    <xf numFmtId="166" applyNumberFormat="1" fontId="0" applyFont="1" xfId="0" applyProtection="1"/>
    <xf numFmtId="166" applyNumberFormat="1" fontId="0" applyFont="1" xfId="0" applyProtection="1" applyAlignment="1">
      <alignment horizontal="center"/>
    </xf>
    <xf numFmtId="166" applyNumberFormat="1" fontId="0" applyFont="1" fillId="14" applyFill="1" xfId="0" applyProtection="1" applyAlignment="1">
      <alignment horizontal="center"/>
    </xf>
    <xf numFmtId="166" applyNumberFormat="1" fontId="0" applyFont="1" fillId="14" applyFill="1" xfId="0" applyProtection="1"/>
    <xf numFmtId="166" applyNumberFormat="1" fontId="3" applyFont="1" fillId="15" applyFill="1" xfId="0" applyProtection="1"/>
    <xf numFmtId="0" applyNumberFormat="1" fontId="6" applyFont="1" fillId="13" applyFill="1" xfId="0" applyProtection="1" applyAlignment="1">
      <alignment horizontal="center" vertical="center" wrapText="1"/>
    </xf>
    <xf numFmtId="0" applyNumberFormat="1" fontId="6" applyFont="1" fillId="13" applyFill="1" borderId="1" applyBorder="1" xfId="0" applyProtection="1" applyAlignment="1">
      <alignment horizontal="center" vertical="center" wrapText="1"/>
    </xf>
    <xf numFmtId="0" applyNumberFormat="1" fontId="1" applyFont="1" fillId="16" applyFill="1" borderId="1" applyBorder="1" xfId="0" applyProtection="1" applyAlignment="1">
      <alignment horizontal="center" vertical="center" wrapText="1"/>
    </xf>
    <xf numFmtId="0" applyNumberFormat="1" fontId="3" applyFont="1" fillId="17" applyFill="1" borderId="1" applyBorder="1" xfId="0" applyProtection="1"/>
    <xf numFmtId="0" applyNumberFormat="1" fontId="0" applyFont="1" borderId="1" applyBorder="1" xfId="0" applyProtection="1" applyAlignment="1">
      <alignment vertical="center" wrapText="1"/>
    </xf>
    <xf numFmtId="0" applyNumberFormat="1" fontId="6" applyFont="1" fillId="17" applyFill="1" borderId="1" applyBorder="1" xfId="0" applyProtection="1" applyAlignment="1">
      <alignment horizontal="center" vertical="center" wrapText="1"/>
    </xf>
    <xf numFmtId="167" applyNumberFormat="1" fontId="0" applyFont="1" borderId="1" applyBorder="1" xfId="0" applyProtection="1"/>
    <xf numFmtId="0" applyNumberFormat="1" fontId="0" applyFont="1" fillId="17" applyFill="1" xfId="0" applyProtection="1"/>
    <xf numFmtId="0" applyNumberFormat="1" fontId="1" applyFont="1" borderId="1" applyBorder="1" xfId="0" applyProtection="1" applyAlignment="1">
      <alignment horizontal="center" wrapText="1"/>
    </xf>
    <xf numFmtId="0" applyNumberFormat="1" fontId="1" applyFont="1" fillId="9" applyFill="1" borderId="1" applyBorder="1" xfId="0" applyProtection="1" applyAlignment="1">
      <alignment horizontal="center" wrapText="1"/>
    </xf>
    <xf numFmtId="0" applyNumberFormat="1" fontId="1" applyFont="1" fillId="10" applyFill="1" borderId="1" applyBorder="1" xfId="0" applyProtection="1" applyAlignment="1">
      <alignment horizontal="center" wrapText="1"/>
    </xf>
    <xf numFmtId="0" applyNumberFormat="1" fontId="0" applyFont="1" fillId="14" applyFill="1" borderId="1" applyBorder="1" xfId="0" applyProtection="1"/>
    <xf numFmtId="0" applyNumberFormat="1" fontId="0" applyFont="1" fillId="14" applyFill="1" borderId="1" applyBorder="1" xfId="0" applyProtection="1" applyAlignment="1">
      <alignment horizontal="center"/>
    </xf>
    <xf numFmtId="168" applyNumberFormat="1" fontId="0" applyFont="1" fillId="14" applyFill="1" borderId="1" applyBorder="1" xfId="0" applyProtection="1"/>
    <xf numFmtId="169" applyNumberFormat="1" fontId="0" applyFont="1" fillId="14" applyFill="1" borderId="1" applyBorder="1" xfId="0" applyProtection="1"/>
    <xf numFmtId="170" applyNumberFormat="1" fontId="0" applyFont="1" fillId="14" applyFill="1" borderId="1" applyBorder="1" xfId="0" applyProtection="1" applyAlignment="1">
      <alignment horizontal="center"/>
    </xf>
    <xf numFmtId="168" applyNumberFormat="1" fontId="0" applyFont="1" borderId="1" applyBorder="1" xfId="0" applyProtection="1"/>
    <xf numFmtId="169" applyNumberFormat="1" fontId="0" applyFont="1" borderId="1" applyBorder="1" xfId="0" applyProtection="1"/>
    <xf numFmtId="170" applyNumberFormat="1" fontId="0" applyFont="1" borderId="1" applyBorder="1" xfId="0" applyProtection="1" applyAlignment="1">
      <alignment horizontal="center"/>
    </xf>
    <xf numFmtId="0" applyNumberFormat="1" fontId="1" applyFont="1" fillId="18" applyFill="1" borderId="1" applyBorder="1" xfId="0" applyProtection="1" applyAlignment="1">
      <alignment horizontal="center" wrapText="1"/>
    </xf>
    <xf numFmtId="0" applyNumberFormat="1" fontId="0" applyFont="1" fillId="18" applyFill="1" xfId="0" applyProtection="1"/>
    <xf numFmtId="0" applyNumberFormat="1" fontId="5" applyFont="1" fillId="18" applyFill="1" borderId="1" applyBorder="1" xfId="0" applyProtection="1" applyAlignment="1">
      <alignment horizontal="center"/>
    </xf>
    <xf numFmtId="165" applyNumberFormat="1" fontId="0" applyFont="1" borderId="1" applyBorder="1" xfId="0" applyProtection="1"/>
    <xf numFmtId="165" applyNumberFormat="1" fontId="0" applyFont="1" fillId="6" applyFill="1" borderId="1" applyBorder="1" xfId="0" applyProtection="1"/>
    <xf numFmtId="165" applyNumberFormat="1" fontId="3" applyFont="1" fillId="19" applyFill="1" borderId="1" applyBorder="1" xfId="0" applyProtection="1"/>
    <xf numFmtId="165" applyNumberFormat="1" fontId="3" applyFont="1" xfId="0" applyProtection="1"/>
    <xf numFmtId="171" applyNumberFormat="1" fontId="0" applyFont="1" xfId="0" applyProtection="1"/>
    <xf numFmtId="171" applyNumberFormat="1" fontId="0" applyFont="1" xfId="0" applyProtection="1" applyAlignment="1">
      <alignment horizontal="center"/>
    </xf>
    <xf numFmtId="165" applyNumberFormat="1" fontId="0" applyFont="1" fillId="20" applyFill="1" borderId="1" applyBorder="1" xfId="0" applyProtection="1"/>
    <xf numFmtId="165" applyNumberFormat="1" fontId="3" applyFont="1" fillId="18" applyFill="1" borderId="1" applyBorder="1" xfId="0" applyProtection="1"/>
    <xf numFmtId="172" applyNumberFormat="1" fontId="0" applyFont="1" fillId="21" applyFill="1" borderId="1" applyBorder="1" xfId="0" applyProtection="1"/>
    <xf numFmtId="173" applyNumberFormat="1" fontId="0" applyFont="1" xfId="0" applyProtection="1"/>
    <xf numFmtId="165" applyNumberFormat="1" fontId="0" applyFont="1" fillId="22" applyFill="1" borderId="1" applyBorder="1" xfId="0" applyProtection="1"/>
    <xf numFmtId="171" applyNumberFormat="1" fontId="0" applyFont="1" fillId="7" applyFill="1" borderId="1" applyBorder="1" xfId="0" applyProtection="1"/>
    <xf numFmtId="0" applyNumberFormat="1" fontId="0" applyFont="1" fillId="23" applyFill="1" borderId="1" applyBorder="1" xfId="0" applyProtection="1"/>
    <xf numFmtId="0" applyNumberFormat="1" fontId="0" applyFont="1" fillId="24" applyFill="1" borderId="1" applyBorder="1" xfId="0" applyProtection="1"/>
    <xf numFmtId="0" applyNumberFormat="1" fontId="0" applyFont="1" fillId="25" applyFill="1" borderId="1" applyBorder="1" xfId="0" applyProtection="1"/>
    <xf numFmtId="164" applyNumberFormat="1" fontId="0" applyFont="1" borderId="1" applyBorder="1" xfId="0" applyProtection="1"/>
    <xf numFmtId="173" applyNumberFormat="1" fontId="0" applyFont="1" borderId="1" applyBorder="1" xfId="0" applyProtection="1"/>
    <xf numFmtId="165" applyNumberFormat="1" fontId="0" applyFont="1" borderId="1" applyBorder="1" xfId="0" applyProtection="1" applyAlignment="1">
      <alignment horizontal="right"/>
    </xf>
    <xf numFmtId="165" applyNumberFormat="1" fontId="0" applyFont="1" fillId="21" applyFill="1" borderId="1" applyBorder="1" xfId="0" applyProtection="1"/>
    <xf numFmtId="165" applyNumberFormat="1" fontId="0" applyFont="1" fillId="26" applyFill="1" borderId="1" applyBorder="1" xfId="0" applyProtection="1"/>
    <xf numFmtId="0" applyNumberFormat="1" fontId="1" applyFont="1" borderId="4" applyBorder="1" xfId="0" applyProtection="1" applyAlignment="1">
      <alignment horizontal="center" vertical="center"/>
    </xf>
    <xf numFmtId="0" applyNumberFormat="1" fontId="1" applyFont="1" borderId="1" applyBorder="1" xfId="0" applyProtection="1" applyAlignment="1">
      <alignment horizontal="left" vertical="center"/>
    </xf>
    <xf numFmtId="0" applyNumberFormat="1" fontId="1" applyFont="1" borderId="1" applyBorder="1" xfId="0" applyProtection="1" applyAlignment="1">
      <alignment horizontal="center" vertical="center"/>
    </xf>
    <xf numFmtId="0" applyNumberFormat="1" fontId="0" applyFont="1" borderId="1" applyBorder="1" xfId="0" applyProtection="1" applyAlignment="1">
      <alignment horizontal="left"/>
    </xf>
    <xf numFmtId="174" applyNumberFormat="1" fontId="0" applyFont="1" fillId="6" applyFill="1" borderId="1" applyBorder="1" xfId="0" applyProtection="1" applyAlignment="1">
      <alignment horizontal="right"/>
    </xf>
    <xf numFmtId="0" applyNumberFormat="1" fontId="1" applyFont="1" borderId="4" applyBorder="1" xfId="0" applyProtection="1" applyAlignment="1">
      <alignment horizontal="right" vertical="center" wrapText="1"/>
    </xf>
    <xf numFmtId="174" applyNumberFormat="1" fontId="3" applyFont="1" fillId="27" applyFill="1" borderId="4" applyBorder="1" xfId="0" applyProtection="1" applyAlignment="1">
      <alignment horizontal="right"/>
    </xf>
    <xf numFmtId="173" applyNumberFormat="1" fontId="0" applyFont="1" fillId="12" applyFill="1" borderId="1" applyBorder="1" xfId="0" applyProtection="1" applyAlignment="1">
      <alignment horizontal="center"/>
    </xf>
    <xf numFmtId="171" applyNumberFormat="1" fontId="3" applyFont="1" fillId="28" applyFill="1" borderId="4" applyBorder="1" xfId="0" applyProtection="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NHS Condition By Bridge Count</a:t>
            </a:r>
          </a:p>
        </c:rich>
      </c:tx>
      <c:layout/>
      <c:overlay val="0"/>
    </c:title>
    <c:plotArea>
      <c:layout/>
      <c:barChart>
        <c:barDir val="col"/>
        <c:grouping val="stacked"/>
        <c:varyColors val="0"/>
        <ser xmlns="http://schemas.openxmlformats.org/drawingml/2006/chart">
          <c:idx val="0"/>
          <c:order val="0"/>
          <c:tx>
            <c:v>Closed</c:v>
          </c:tx>
          <c:invertIfNegative val="0"/>
          <c:cat>
            <c:numRef>
              <c:f>'Graph Data'!$A$3:$A$37</c:f>
            </c:numRef>
          </c:cat>
          <c:val>
            <c:numRef>
              <c:f>'Graph Data'!$E$3:$E$37</c:f>
            </c:numRef>
          </c:val>
          <c:spPr>
            <a:solidFill>
              <a:srgbClr val="000000"/>
            </a:solidFill>
          </c:spPr>
        </ser>
        <ser xmlns="http://schemas.openxmlformats.org/drawingml/2006/chart">
          <c:idx val="1"/>
          <c:order val="1"/>
          <c:tx>
            <c:v>Poor</c:v>
          </c:tx>
          <c:invertIfNegative val="0"/>
          <c:cat>
            <c:numRef>
              <c:f>'Graph Data'!$A$3:$A$37</c:f>
            </c:numRef>
          </c:cat>
          <c:val>
            <c:numRef>
              <c:f>'Graph Data'!$D$3:$D$37</c:f>
            </c:numRef>
          </c:val>
          <c:spPr>
            <a:solidFill>
              <a:srgbClr val="FF0000"/>
            </a:solidFill>
          </c:spPr>
        </ser>
        <ser xmlns="http://schemas.openxmlformats.org/drawingml/2006/chart">
          <c:idx val="2"/>
          <c:order val="2"/>
          <c:tx>
            <c:v>Fair</c:v>
          </c:tx>
          <c:invertIfNegative val="0"/>
          <c:cat>
            <c:numRef>
              <c:f>'Graph Data'!$A$3:$A$37</c:f>
            </c:numRef>
          </c:cat>
          <c:val>
            <c:numRef>
              <c:f>'Graph Data'!$C$3:$C$37</c:f>
            </c:numRef>
          </c:val>
          <c:spPr>
            <a:solidFill>
              <a:srgbClr val="FFFF00"/>
            </a:solidFill>
          </c:spPr>
        </ser>
        <ser xmlns="http://schemas.openxmlformats.org/drawingml/2006/chart">
          <c:idx val="3"/>
          <c:order val="3"/>
          <c:tx>
            <c:v>Good</c:v>
          </c:tx>
          <c:invertIfNegative val="0"/>
          <c:cat>
            <c:numRef>
              <c:f>'Graph Data'!$A$3:$A$37</c:f>
            </c:numRef>
          </c:cat>
          <c:val>
            <c:numRef>
              <c:f>'Graph Data'!$B$3:$B$37</c:f>
            </c:numRef>
          </c:val>
          <c:spPr>
            <a:solidFill>
              <a:srgbClr val="00B050"/>
            </a:solidFill>
          </c:spPr>
        </ser>
        <c:gapWidth val="75"/>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max val="1"/>
        </c:scaling>
        <c:delete val="0"/>
        <c:axPos val="l"/>
        <c:majorGridlines>
          <c:spPr>
            <a:ln>
              <a:solidFill>
                <a:srgbClr val="D3D3D3"/>
              </a:solidFill>
            </a:ln>
          </c:spPr>
        </c:majorGridlines>
        <c:numFmt formatCode="#0%" sourceLinked="0"/>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NHS Condition By Deck Area</a:t>
            </a:r>
          </a:p>
        </c:rich>
      </c:tx>
      <c:layout/>
      <c:overlay val="0"/>
    </c:title>
    <c:plotArea>
      <c:layout/>
      <c:barChart>
        <c:barDir val="col"/>
        <c:grouping val="stacked"/>
        <c:varyColors val="0"/>
        <ser xmlns="http://schemas.openxmlformats.org/drawingml/2006/chart">
          <c:idx val="0"/>
          <c:order val="0"/>
          <c:tx>
            <c:v>Closed</c:v>
          </c:tx>
          <c:invertIfNegative val="0"/>
          <c:cat>
            <c:numRef>
              <c:f>'Graph Data'!$G$3:$G$37</c:f>
            </c:numRef>
          </c:cat>
          <c:val>
            <c:numRef>
              <c:f>'Graph Data'!$K$3:$K$37</c:f>
            </c:numRef>
          </c:val>
          <c:spPr>
            <a:solidFill>
              <a:srgbClr val="000000"/>
            </a:solidFill>
          </c:spPr>
        </ser>
        <ser xmlns="http://schemas.openxmlformats.org/drawingml/2006/chart">
          <c:idx val="1"/>
          <c:order val="1"/>
          <c:tx>
            <c:v>Poor</c:v>
          </c:tx>
          <c:invertIfNegative val="0"/>
          <c:cat>
            <c:numRef>
              <c:f>'Graph Data'!$G$3:$G$37</c:f>
            </c:numRef>
          </c:cat>
          <c:val>
            <c:numRef>
              <c:f>'Graph Data'!$J$3:$J$37</c:f>
            </c:numRef>
          </c:val>
          <c:spPr>
            <a:solidFill>
              <a:srgbClr val="FF0000"/>
            </a:solidFill>
          </c:spPr>
        </ser>
        <ser xmlns="http://schemas.openxmlformats.org/drawingml/2006/chart">
          <c:idx val="2"/>
          <c:order val="2"/>
          <c:tx>
            <c:v>Fair</c:v>
          </c:tx>
          <c:invertIfNegative val="0"/>
          <c:cat>
            <c:numRef>
              <c:f>'Graph Data'!$G$3:$G$37</c:f>
            </c:numRef>
          </c:cat>
          <c:val>
            <c:numRef>
              <c:f>'Graph Data'!$I$3:$I$37</c:f>
            </c:numRef>
          </c:val>
          <c:spPr>
            <a:solidFill>
              <a:srgbClr val="FFFF00"/>
            </a:solidFill>
          </c:spPr>
        </ser>
        <ser xmlns="http://schemas.openxmlformats.org/drawingml/2006/chart">
          <c:idx val="3"/>
          <c:order val="3"/>
          <c:tx>
            <c:v>Good</c:v>
          </c:tx>
          <c:invertIfNegative val="0"/>
          <c:cat>
            <c:numRef>
              <c:f>'Graph Data'!$G$3:$G$37</c:f>
            </c:numRef>
          </c:cat>
          <c:val>
            <c:numRef>
              <c:f>'Graph Data'!$H$3:$H$37</c:f>
            </c:numRef>
          </c:val>
          <c:spPr>
            <a:solidFill>
              <a:srgbClr val="00B050"/>
            </a:solidFill>
          </c:spPr>
        </ser>
        <c:gapWidth val="75"/>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max val="1"/>
        </c:scaling>
        <c:delete val="0"/>
        <c:axPos val="l"/>
        <c:majorGridlines>
          <c:spPr>
            <a:ln>
              <a:solidFill>
                <a:srgbClr val="D3D3D3"/>
              </a:solidFill>
            </a:ln>
          </c:spPr>
        </c:majorGridlines>
        <c:numFmt formatCode="#0%" sourceLinked="0"/>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Non-NHS Condition By Bridge Count</a:t>
            </a:r>
          </a:p>
        </c:rich>
      </c:tx>
      <c:layout/>
      <c:overlay val="0"/>
    </c:title>
    <c:plotArea>
      <c:layout/>
      <c:barChart>
        <c:barDir val="col"/>
        <c:grouping val="stacked"/>
        <c:varyColors val="0"/>
        <ser xmlns="http://schemas.openxmlformats.org/drawingml/2006/chart">
          <c:idx val="0"/>
          <c:order val="0"/>
          <c:tx>
            <c:v>Closed</c:v>
          </c:tx>
          <c:invertIfNegative val="0"/>
          <c:cat>
            <c:numRef>
              <c:f>'Graph Data'!$M$3:$M$37</c:f>
            </c:numRef>
          </c:cat>
          <c:val>
            <c:numRef>
              <c:f>'Graph Data'!$Q$3:$Q$37</c:f>
            </c:numRef>
          </c:val>
          <c:spPr>
            <a:solidFill>
              <a:srgbClr val="000000"/>
            </a:solidFill>
          </c:spPr>
        </ser>
        <ser xmlns="http://schemas.openxmlformats.org/drawingml/2006/chart">
          <c:idx val="1"/>
          <c:order val="1"/>
          <c:tx>
            <c:v>Poor</c:v>
          </c:tx>
          <c:invertIfNegative val="0"/>
          <c:cat>
            <c:numRef>
              <c:f>'Graph Data'!$M$3:$M$37</c:f>
            </c:numRef>
          </c:cat>
          <c:val>
            <c:numRef>
              <c:f>'Graph Data'!$P$3:$P$37</c:f>
            </c:numRef>
          </c:val>
          <c:spPr>
            <a:solidFill>
              <a:srgbClr val="FF0000"/>
            </a:solidFill>
          </c:spPr>
        </ser>
        <ser xmlns="http://schemas.openxmlformats.org/drawingml/2006/chart">
          <c:idx val="2"/>
          <c:order val="2"/>
          <c:tx>
            <c:v>Fair</c:v>
          </c:tx>
          <c:invertIfNegative val="0"/>
          <c:cat>
            <c:numRef>
              <c:f>'Graph Data'!$M$3:$M$37</c:f>
            </c:numRef>
          </c:cat>
          <c:val>
            <c:numRef>
              <c:f>'Graph Data'!$O$3:$O$37</c:f>
            </c:numRef>
          </c:val>
          <c:spPr>
            <a:solidFill>
              <a:srgbClr val="FFFF00"/>
            </a:solidFill>
          </c:spPr>
        </ser>
        <ser xmlns="http://schemas.openxmlformats.org/drawingml/2006/chart">
          <c:idx val="3"/>
          <c:order val="3"/>
          <c:tx>
            <c:v>Good</c:v>
          </c:tx>
          <c:invertIfNegative val="0"/>
          <c:cat>
            <c:numRef>
              <c:f>'Graph Data'!$M$3:$M$37</c:f>
            </c:numRef>
          </c:cat>
          <c:val>
            <c:numRef>
              <c:f>'Graph Data'!$N$3:$N$37</c:f>
            </c:numRef>
          </c:val>
          <c:spPr>
            <a:solidFill>
              <a:srgbClr val="00B050"/>
            </a:solidFill>
          </c:spPr>
        </ser>
        <c:gapWidth val="75"/>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max val="1"/>
        </c:scaling>
        <c:delete val="0"/>
        <c:axPos val="l"/>
        <c:majorGridlines>
          <c:spPr>
            <a:ln>
              <a:solidFill>
                <a:srgbClr val="D3D3D3"/>
              </a:solidFill>
            </a:ln>
          </c:spPr>
        </c:majorGridlines>
        <c:numFmt formatCode="#0%" sourceLinked="0"/>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Non-NHS Condition By Deck Area</a:t>
            </a:r>
          </a:p>
        </c:rich>
      </c:tx>
      <c:layout/>
      <c:overlay val="0"/>
    </c:title>
    <c:plotArea>
      <c:layout/>
      <c:barChart>
        <c:barDir val="col"/>
        <c:grouping val="stacked"/>
        <c:varyColors val="0"/>
        <ser xmlns="http://schemas.openxmlformats.org/drawingml/2006/chart">
          <c:idx val="0"/>
          <c:order val="0"/>
          <c:tx>
            <c:v>Closed</c:v>
          </c:tx>
          <c:invertIfNegative val="0"/>
          <c:cat>
            <c:numRef>
              <c:f>'Graph Data'!$S$3:$S$37</c:f>
            </c:numRef>
          </c:cat>
          <c:val>
            <c:numRef>
              <c:f>'Graph Data'!$W$3:$W$37</c:f>
            </c:numRef>
          </c:val>
          <c:spPr>
            <a:solidFill>
              <a:srgbClr val="000000"/>
            </a:solidFill>
          </c:spPr>
        </ser>
        <ser xmlns="http://schemas.openxmlformats.org/drawingml/2006/chart">
          <c:idx val="1"/>
          <c:order val="1"/>
          <c:tx>
            <c:v>Poor</c:v>
          </c:tx>
          <c:invertIfNegative val="0"/>
          <c:cat>
            <c:numRef>
              <c:f>'Graph Data'!$S$3:$S$37</c:f>
            </c:numRef>
          </c:cat>
          <c:val>
            <c:numRef>
              <c:f>'Graph Data'!$V$3:$V$37</c:f>
            </c:numRef>
          </c:val>
          <c:spPr>
            <a:solidFill>
              <a:srgbClr val="FF0000"/>
            </a:solidFill>
          </c:spPr>
        </ser>
        <ser xmlns="http://schemas.openxmlformats.org/drawingml/2006/chart">
          <c:idx val="2"/>
          <c:order val="2"/>
          <c:tx>
            <c:v>Fair</c:v>
          </c:tx>
          <c:invertIfNegative val="0"/>
          <c:cat>
            <c:numRef>
              <c:f>'Graph Data'!$S$3:$S$37</c:f>
            </c:numRef>
          </c:cat>
          <c:val>
            <c:numRef>
              <c:f>'Graph Data'!$U$3:$U$37</c:f>
            </c:numRef>
          </c:val>
          <c:spPr>
            <a:solidFill>
              <a:srgbClr val="FFFF00"/>
            </a:solidFill>
          </c:spPr>
        </ser>
        <ser xmlns="http://schemas.openxmlformats.org/drawingml/2006/chart">
          <c:idx val="3"/>
          <c:order val="3"/>
          <c:tx>
            <c:v>Good</c:v>
          </c:tx>
          <c:invertIfNegative val="0"/>
          <c:cat>
            <c:numRef>
              <c:f>'Graph Data'!$S$3:$S$37</c:f>
            </c:numRef>
          </c:cat>
          <c:val>
            <c:numRef>
              <c:f>'Graph Data'!$T$3:$T$37</c:f>
            </c:numRef>
          </c:val>
          <c:spPr>
            <a:solidFill>
              <a:srgbClr val="00B050"/>
            </a:solidFill>
          </c:spPr>
        </ser>
        <c:gapWidth val="75"/>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max val="1"/>
        </c:scaling>
        <c:delete val="0"/>
        <c:axPos val="l"/>
        <c:majorGridlines>
          <c:spPr>
            <a:ln>
              <a:solidFill>
                <a:srgbClr val="D3D3D3"/>
              </a:solidFill>
            </a:ln>
          </c:spPr>
        </c:majorGridlines>
        <c:numFmt formatCode="#0%" sourceLinked="0"/>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5.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Combine NHS and Non-NHS Condition By Bridge Count</a:t>
            </a:r>
          </a:p>
        </c:rich>
      </c:tx>
      <c:layout/>
      <c:overlay val="0"/>
    </c:title>
    <c:plotArea>
      <c:layout/>
      <c:barChart>
        <c:barDir val="col"/>
        <c:grouping val="stacked"/>
        <c:varyColors val="0"/>
        <ser xmlns="http://schemas.openxmlformats.org/drawingml/2006/chart">
          <c:idx val="0"/>
          <c:order val="0"/>
          <c:tx>
            <c:v>Closed</c:v>
          </c:tx>
          <c:invertIfNegative val="0"/>
          <c:cat>
            <c:numRef>
              <c:f>'Graph Data'!$Y$3:$Y$37</c:f>
            </c:numRef>
          </c:cat>
          <c:val>
            <c:numRef>
              <c:f>'Graph Data'!$AC$3:$AC$37</c:f>
            </c:numRef>
          </c:val>
          <c:spPr>
            <a:solidFill>
              <a:srgbClr val="000000"/>
            </a:solidFill>
          </c:spPr>
        </ser>
        <ser xmlns="http://schemas.openxmlformats.org/drawingml/2006/chart">
          <c:idx val="1"/>
          <c:order val="1"/>
          <c:tx>
            <c:v>Poor</c:v>
          </c:tx>
          <c:invertIfNegative val="0"/>
          <c:cat>
            <c:numRef>
              <c:f>'Graph Data'!$Y$3:$Y$37</c:f>
            </c:numRef>
          </c:cat>
          <c:val>
            <c:numRef>
              <c:f>'Graph Data'!$AB$3:$AB$37</c:f>
            </c:numRef>
          </c:val>
          <c:spPr>
            <a:solidFill>
              <a:srgbClr val="FF0000"/>
            </a:solidFill>
          </c:spPr>
        </ser>
        <ser xmlns="http://schemas.openxmlformats.org/drawingml/2006/chart">
          <c:idx val="2"/>
          <c:order val="2"/>
          <c:tx>
            <c:v>Fair</c:v>
          </c:tx>
          <c:invertIfNegative val="0"/>
          <c:cat>
            <c:numRef>
              <c:f>'Graph Data'!$Y$3:$Y$37</c:f>
            </c:numRef>
          </c:cat>
          <c:val>
            <c:numRef>
              <c:f>'Graph Data'!$AA$3:$AA$37</c:f>
            </c:numRef>
          </c:val>
          <c:spPr>
            <a:solidFill>
              <a:srgbClr val="FFFF00"/>
            </a:solidFill>
          </c:spPr>
        </ser>
        <ser xmlns="http://schemas.openxmlformats.org/drawingml/2006/chart">
          <c:idx val="3"/>
          <c:order val="3"/>
          <c:tx>
            <c:v>Good</c:v>
          </c:tx>
          <c:invertIfNegative val="0"/>
          <c:cat>
            <c:numRef>
              <c:f>'Graph Data'!$Y$3:$Y$37</c:f>
            </c:numRef>
          </c:cat>
          <c:val>
            <c:numRef>
              <c:f>'Graph Data'!$Z$3:$Z$37</c:f>
            </c:numRef>
          </c:val>
          <c:spPr>
            <a:solidFill>
              <a:srgbClr val="00B050"/>
            </a:solidFill>
          </c:spPr>
        </ser>
        <c:gapWidth val="75"/>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max val="1"/>
        </c:scaling>
        <c:delete val="0"/>
        <c:axPos val="l"/>
        <c:majorGridlines>
          <c:spPr>
            <a:ln>
              <a:solidFill>
                <a:srgbClr val="D3D3D3"/>
              </a:solidFill>
            </a:ln>
          </c:spPr>
        </c:majorGridlines>
        <c:numFmt formatCode="#0%" sourceLinked="0"/>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6.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Combine NHS and Non-NHS With Committed Projects
Condition By Deck Area</a:t>
            </a:r>
          </a:p>
        </c:rich>
      </c:tx>
      <c:layout/>
      <c:overlay val="0"/>
    </c:title>
    <c:plotArea>
      <c:layout/>
      <c:barChart>
        <c:barDir val="col"/>
        <c:grouping val="stacked"/>
        <c:varyColors val="0"/>
        <ser xmlns="http://schemas.openxmlformats.org/drawingml/2006/chart">
          <c:idx val="0"/>
          <c:order val="0"/>
          <c:tx>
            <c:v>Closed</c:v>
          </c:tx>
          <c:invertIfNegative val="0"/>
          <c:cat>
            <c:numRef>
              <c:f>'Graph Data'!$AE$3:$AE$37</c:f>
            </c:numRef>
          </c:cat>
          <c:val>
            <c:numRef>
              <c:f>'Graph Data'!$AI$3:$AI$37</c:f>
            </c:numRef>
          </c:val>
          <c:spPr>
            <a:solidFill>
              <a:srgbClr val="000000"/>
            </a:solidFill>
          </c:spPr>
        </ser>
        <ser xmlns="http://schemas.openxmlformats.org/drawingml/2006/chart">
          <c:idx val="1"/>
          <c:order val="1"/>
          <c:tx>
            <c:v>Poor</c:v>
          </c:tx>
          <c:invertIfNegative val="0"/>
          <c:cat>
            <c:numRef>
              <c:f>'Graph Data'!$AE$3:$AE$37</c:f>
            </c:numRef>
          </c:cat>
          <c:val>
            <c:numRef>
              <c:f>'Graph Data'!$AH$3:$AH$37</c:f>
            </c:numRef>
          </c:val>
          <c:spPr>
            <a:solidFill>
              <a:srgbClr val="FF0000"/>
            </a:solidFill>
          </c:spPr>
        </ser>
        <ser xmlns="http://schemas.openxmlformats.org/drawingml/2006/chart">
          <c:idx val="2"/>
          <c:order val="2"/>
          <c:tx>
            <c:v>Fair</c:v>
          </c:tx>
          <c:invertIfNegative val="0"/>
          <c:cat>
            <c:numRef>
              <c:f>'Graph Data'!$AE$3:$AE$37</c:f>
            </c:numRef>
          </c:cat>
          <c:val>
            <c:numRef>
              <c:f>'Graph Data'!$AG$3:$AG$37</c:f>
            </c:numRef>
          </c:val>
          <c:spPr>
            <a:solidFill>
              <a:srgbClr val="FFFF00"/>
            </a:solidFill>
          </c:spPr>
        </ser>
        <ser xmlns="http://schemas.openxmlformats.org/drawingml/2006/chart">
          <c:idx val="3"/>
          <c:order val="3"/>
          <c:tx>
            <c:v>Good</c:v>
          </c:tx>
          <c:invertIfNegative val="0"/>
          <c:cat>
            <c:numRef>
              <c:f>'Graph Data'!$AE$3:$AE$37</c:f>
            </c:numRef>
          </c:cat>
          <c:val>
            <c:numRef>
              <c:f>'Graph Data'!$AF$3:$AF$37</c:f>
            </c:numRef>
          </c:val>
          <c:spPr>
            <a:solidFill>
              <a:srgbClr val="00B050"/>
            </a:solidFill>
          </c:spPr>
        </ser>
        <c:gapWidth val="75"/>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max val="1"/>
        </c:scaling>
        <c:delete val="0"/>
        <c:axPos val="l"/>
        <c:majorGridlines>
          <c:spPr>
            <a:ln>
              <a:solidFill>
                <a:srgbClr val="D3D3D3"/>
              </a:solidFill>
            </a:ln>
          </c:spPr>
        </c:majorGridlines>
        <c:numFmt formatCode="#0%" sourceLinked="0"/>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7.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Poor Bridge Compare Bridge Count</a:t>
            </a:r>
          </a:p>
        </c:rich>
      </c:tx>
      <c:layout/>
      <c:overlay val="0"/>
    </c:title>
    <c:plotArea>
      <c:layout/>
      <c:barChart>
        <c:barDir val="col"/>
        <c:grouping val="stacked"/>
        <c:varyColors val="0"/>
        <ser xmlns="http://schemas.openxmlformats.org/drawingml/2006/chart">
          <c:idx val="0"/>
          <c:order val="0"/>
          <c:tx>
            <c:v>Overall</c:v>
          </c:tx>
          <c:invertIfNegative val="0"/>
          <c:cat>
            <c:numRef>
              <c:f>'Bridge Work Summary'!$B$168:$M$168</c:f>
            </c:numRef>
          </c:cat>
          <c:val>
            <c:numRef>
              <c:f>'Bridge Work Summary'!$B$169:$M$169</c:f>
            </c:numRef>
          </c:val>
          <c:spPr>
            <a:solidFill>
              <a:srgbClr val="4472C4"/>
            </a:solidFill>
          </c:spPr>
        </ser>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8.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Poor Bridge Compare Deck Area</a:t>
            </a:r>
          </a:p>
        </c:rich>
      </c:tx>
      <c:layout/>
      <c:overlay val="0"/>
    </c:title>
    <c:plotArea>
      <c:layout/>
      <c:barChart>
        <c:barDir val="col"/>
        <c:grouping val="stacked"/>
        <c:varyColors val="0"/>
        <ser xmlns="http://schemas.openxmlformats.org/drawingml/2006/chart">
          <c:idx val="0"/>
          <c:order val="0"/>
          <c:tx>
            <c:v>Overall</c:v>
          </c:tx>
          <c:invertIfNegative val="0"/>
          <c:cat>
            <c:numRef>
              <c:f>'Bridge Work Summary'!$B$184:$M$184</c:f>
            </c:numRef>
          </c:cat>
          <c:val>
            <c:numRef>
              <c:f>'Bridge Work Summary'!$B$185:$M$185</c:f>
            </c:numRef>
          </c:val>
          <c:spPr>
            <a:solidFill>
              <a:srgbClr val="4472C4"/>
            </a:solidFill>
          </c:spPr>
        </ser>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numFmt formatCode="_(* #,##0.00_);_(* (#,##0.00);_(* -??_);_(@_)" sourceLinked="0"/>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9.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Poor Deck Area By BPN</a:t>
            </a:r>
          </a:p>
        </c:rich>
      </c:tx>
      <c:layout/>
      <c:overlay val="0"/>
    </c:title>
    <c:plotArea>
      <c:layout/>
      <c:barChart>
        <c:barDir val="col"/>
        <c:grouping val="stacked"/>
        <c:varyColors val="0"/>
        <ser xmlns="http://schemas.openxmlformats.org/drawingml/2006/chart">
          <c:idx val="0"/>
          <c:order val="0"/>
          <c:tx>
            <c:v>BPN 1</c:v>
          </c:tx>
          <c:invertIfNegative val="0"/>
          <c:cat>
            <c:numRef>
              <c:f>'Bridge Work Summary'!$B$271:$M$271</c:f>
            </c:numRef>
          </c:cat>
          <c:val>
            <c:numRef>
              <c:f>'Bridge Work Summary'!$B$272:$M$272</c:f>
            </c:numRef>
          </c:val>
          <c:spPr>
            <a:solidFill>
              <a:srgbClr val="4472C4"/>
            </a:solidFill>
          </c:spPr>
        </ser>
        <ser xmlns="http://schemas.openxmlformats.org/drawingml/2006/chart">
          <c:idx val="1"/>
          <c:order val="1"/>
          <c:tx>
            <c:v>BPN 2</c:v>
          </c:tx>
          <c:invertIfNegative val="0"/>
          <c:cat>
            <c:numRef>
              <c:f>'Bridge Work Summary'!$B$271:$M$271</c:f>
            </c:numRef>
          </c:cat>
          <c:val>
            <c:numRef>
              <c:f>'Bridge Work Summary'!$B$273:$M$273</c:f>
            </c:numRef>
          </c:val>
          <c:spPr>
            <a:solidFill>
              <a:srgbClr val="ED7D31"/>
            </a:solidFill>
          </c:spPr>
        </ser>
        <ser xmlns="http://schemas.openxmlformats.org/drawingml/2006/chart">
          <c:idx val="2"/>
          <c:order val="2"/>
          <c:tx>
            <c:v>BPN 3</c:v>
          </c:tx>
          <c:invertIfNegative val="0"/>
          <c:cat>
            <c:numRef>
              <c:f>'Bridge Work Summary'!$B$271:$M$271</c:f>
            </c:numRef>
          </c:cat>
          <c:val>
            <c:numRef>
              <c:f>'Bridge Work Summary'!$B$274:$M$274</c:f>
            </c:numRef>
          </c:val>
          <c:spPr>
            <a:solidFill>
              <a:srgbClr val="A5A5A5"/>
            </a:solidFill>
          </c:spPr>
        </ser>
        <ser xmlns="http://schemas.openxmlformats.org/drawingml/2006/chart">
          <c:idx val="3"/>
          <c:order val="3"/>
          <c:tx>
            <c:v>BPN 4</c:v>
          </c:tx>
          <c:invertIfNegative val="0"/>
          <c:cat>
            <c:numRef>
              <c:f>'Bridge Work Summary'!$B$271:$M$271</c:f>
            </c:numRef>
          </c:cat>
          <c:val>
            <c:numRef>
              <c:f>'Bridge Work Summary'!$B$275:$M$275</c:f>
            </c:numRef>
          </c:val>
          <c:spPr>
            <a:solidFill>
              <a:srgbClr val="FFC000"/>
            </a:solidFill>
          </c:spPr>
        </ser>
        <ser xmlns="http://schemas.openxmlformats.org/drawingml/2006/chart">
          <c:idx val="4"/>
          <c:order val="4"/>
          <c:tx>
            <c:v>BPN D</c:v>
          </c:tx>
          <c:invertIfNegative val="0"/>
          <c:cat>
            <c:numRef>
              <c:f>'Bridge Work Summary'!$B$271:$M$271</c:f>
            </c:numRef>
          </c:cat>
          <c:val>
            <c:numRef>
              <c:f>'Bridge Work Summary'!$B$276:$M$276</c:f>
            </c:numRef>
          </c:val>
          <c:spPr>
            <a:solidFill>
              <a:srgbClr val="5B9B15"/>
            </a:solidFill>
          </c:spPr>
        </ser>
        <ser xmlns="http://schemas.openxmlformats.org/drawingml/2006/chart">
          <c:idx val="5"/>
          <c:order val="5"/>
          <c:tx>
            <c:v>BPN H</c:v>
          </c:tx>
          <c:invertIfNegative val="0"/>
          <c:cat>
            <c:numRef>
              <c:f>'Bridge Work Summary'!$B$271:$M$271</c:f>
            </c:numRef>
          </c:cat>
          <c:val>
            <c:numRef>
              <c:f>'Bridge Work Summary'!$B$277:$M$277</c:f>
            </c:numRef>
          </c:val>
          <c:spPr>
            <a:solidFill>
              <a:srgbClr val="70AD47"/>
            </a:solidFill>
          </c:spPr>
        </ser>
        <ser xmlns="http://schemas.openxmlformats.org/drawingml/2006/chart">
          <c:idx val="6"/>
          <c:order val="6"/>
          <c:tx>
            <c:v>BPN L</c:v>
          </c:tx>
          <c:invertIfNegative val="0"/>
          <c:cat>
            <c:numRef>
              <c:f>'Bridge Work Summary'!$B$271:$M$271</c:f>
            </c:numRef>
          </c:cat>
          <c:val>
            <c:numRef>
              <c:f>'Bridge Work Summary'!$B$278:$M$278</c:f>
            </c:numRef>
          </c:val>
          <c:spPr>
            <a:solidFill>
              <a:srgbClr val="264478"/>
            </a:solidFill>
          </c:spPr>
        </ser>
        <ser xmlns="http://schemas.openxmlformats.org/drawingml/2006/chart">
          <c:idx val="7"/>
          <c:order val="7"/>
          <c:tx>
            <c:v>BPN N</c:v>
          </c:tx>
          <c:invertIfNegative val="0"/>
          <c:cat>
            <c:numRef>
              <c:f>'Bridge Work Summary'!$B$271:$M$271</c:f>
            </c:numRef>
          </c:cat>
          <c:val>
            <c:numRef>
              <c:f>'Bridge Work Summary'!$B$279:$M$279</c:f>
            </c:numRef>
          </c:val>
          <c:spPr>
            <a:solidFill>
              <a:srgbClr val="9E480E"/>
            </a:solidFill>
          </c:spPr>
        </ser>
        <ser xmlns="http://schemas.openxmlformats.org/drawingml/2006/chart">
          <c:idx val="8"/>
          <c:order val="8"/>
          <c:tx>
            <c:v>BPN T</c:v>
          </c:tx>
          <c:invertIfNegative val="0"/>
          <c:cat>
            <c:numRef>
              <c:f>'Bridge Work Summary'!$B$271:$M$271</c:f>
            </c:numRef>
          </c:cat>
          <c:val>
            <c:numRef>
              <c:f>'Bridge Work Summary'!$B$280:$M$280</c:f>
            </c:numRef>
          </c:val>
          <c:spPr>
            <a:solidFill>
              <a:srgbClr val="636363"/>
            </a:solidFill>
          </c:spPr>
        </ser>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title>
          <c:tx>
            <c:rich>
              <a:bodyPr vert="vert"/>
              <a:lstStyle/>
              <a:p>
                <a:r>
                  <a:rPr sz="1000"/>
                  <a:t>Millions sqft</a:t>
                </a:r>
              </a:p>
            </c:rich>
          </c:tx>
          <c:layout/>
          <c:overlay val="0"/>
        </c:title>
        <c:numFmt formatCode="_(* #,##0.00_);_(* (#,##0.00);_(* -??_);_(@_)" sourceLinked="0"/>
        <c:majorTickMark val="none"/>
        <c:minorTickMark val="none"/>
        <c:tickLblPos val="nextTo"/>
        <c:spPr>
          <a:ln>
            <a:noFill/>
          </a:ln>
        </c:spPr>
        <c:crossAx val="1"/>
        <c:crosses val="autoZero"/>
        <c:crossBetween val="between"/>
        <c:dispUnits>
          <c:builtInUnit val="millions"/>
        </c:dispUnits>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10.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Posted Bridge Count By BPN</a:t>
            </a:r>
          </a:p>
        </c:rich>
      </c:tx>
      <c:layout/>
      <c:overlay val="0"/>
    </c:title>
    <c:plotArea>
      <c:layout/>
      <c:barChart>
        <c:barDir val="col"/>
        <c:grouping val="stacked"/>
        <c:varyColors val="0"/>
        <ser xmlns="http://schemas.openxmlformats.org/drawingml/2006/chart">
          <c:idx val="0"/>
          <c:order val="0"/>
          <c:tx>
            <c:v>BPN 1</c:v>
          </c:tx>
          <c:invertIfNegative val="0"/>
          <c:cat>
            <c:numRef>
              <c:f>'Bridge Work Summary'!$B$283:$M$283</c:f>
            </c:numRef>
          </c:cat>
          <c:val>
            <c:numRef>
              <c:f>'Bridge Work Summary'!$B$284:$M$284</c:f>
            </c:numRef>
          </c:val>
          <c:spPr>
            <a:solidFill>
              <a:srgbClr val="4472C4"/>
            </a:solidFill>
          </c:spPr>
        </ser>
        <ser xmlns="http://schemas.openxmlformats.org/drawingml/2006/chart">
          <c:idx val="1"/>
          <c:order val="1"/>
          <c:tx>
            <c:v>BPN 2</c:v>
          </c:tx>
          <c:invertIfNegative val="0"/>
          <c:cat>
            <c:numRef>
              <c:f>'Bridge Work Summary'!$B$283:$M$283</c:f>
            </c:numRef>
          </c:cat>
          <c:val>
            <c:numRef>
              <c:f>'Bridge Work Summary'!$B$285:$M$285</c:f>
            </c:numRef>
          </c:val>
          <c:spPr>
            <a:solidFill>
              <a:srgbClr val="ED7D31"/>
            </a:solidFill>
          </c:spPr>
        </ser>
        <ser xmlns="http://schemas.openxmlformats.org/drawingml/2006/chart">
          <c:idx val="2"/>
          <c:order val="2"/>
          <c:tx>
            <c:v>BPN 3</c:v>
          </c:tx>
          <c:invertIfNegative val="0"/>
          <c:cat>
            <c:numRef>
              <c:f>'Bridge Work Summary'!$B$283:$M$283</c:f>
            </c:numRef>
          </c:cat>
          <c:val>
            <c:numRef>
              <c:f>'Bridge Work Summary'!$B$286:$M$286</c:f>
            </c:numRef>
          </c:val>
          <c:spPr>
            <a:solidFill>
              <a:srgbClr val="A5A5A5"/>
            </a:solidFill>
          </c:spPr>
        </ser>
        <ser xmlns="http://schemas.openxmlformats.org/drawingml/2006/chart">
          <c:idx val="3"/>
          <c:order val="3"/>
          <c:tx>
            <c:v>BPN 4</c:v>
          </c:tx>
          <c:invertIfNegative val="0"/>
          <c:cat>
            <c:numRef>
              <c:f>'Bridge Work Summary'!$B$283:$M$283</c:f>
            </c:numRef>
          </c:cat>
          <c:val>
            <c:numRef>
              <c:f>'Bridge Work Summary'!$B$287:$M$287</c:f>
            </c:numRef>
          </c:val>
          <c:spPr>
            <a:solidFill>
              <a:srgbClr val="FFC000"/>
            </a:solidFill>
          </c:spPr>
        </ser>
        <ser xmlns="http://schemas.openxmlformats.org/drawingml/2006/chart">
          <c:idx val="4"/>
          <c:order val="4"/>
          <c:tx>
            <c:v>BPN D</c:v>
          </c:tx>
          <c:invertIfNegative val="0"/>
          <c:cat>
            <c:numRef>
              <c:f>'Bridge Work Summary'!$B$283:$M$283</c:f>
            </c:numRef>
          </c:cat>
          <c:val>
            <c:numRef>
              <c:f>'Bridge Work Summary'!$B$288:$M$288</c:f>
            </c:numRef>
          </c:val>
          <c:spPr>
            <a:solidFill>
              <a:srgbClr val="5B9B15"/>
            </a:solidFill>
          </c:spPr>
        </ser>
        <ser xmlns="http://schemas.openxmlformats.org/drawingml/2006/chart">
          <c:idx val="5"/>
          <c:order val="5"/>
          <c:tx>
            <c:v>BPN H</c:v>
          </c:tx>
          <c:invertIfNegative val="0"/>
          <c:cat>
            <c:numRef>
              <c:f>'Bridge Work Summary'!$B$283:$M$283</c:f>
            </c:numRef>
          </c:cat>
          <c:val>
            <c:numRef>
              <c:f>'Bridge Work Summary'!$B$289:$M$289</c:f>
            </c:numRef>
          </c:val>
          <c:spPr>
            <a:solidFill>
              <a:srgbClr val="70AD47"/>
            </a:solidFill>
          </c:spPr>
        </ser>
        <ser xmlns="http://schemas.openxmlformats.org/drawingml/2006/chart">
          <c:idx val="6"/>
          <c:order val="6"/>
          <c:tx>
            <c:v>BPN L</c:v>
          </c:tx>
          <c:invertIfNegative val="0"/>
          <c:cat>
            <c:numRef>
              <c:f>'Bridge Work Summary'!$B$283:$M$283</c:f>
            </c:numRef>
          </c:cat>
          <c:val>
            <c:numRef>
              <c:f>'Bridge Work Summary'!$B$290:$M$290</c:f>
            </c:numRef>
          </c:val>
          <c:spPr>
            <a:solidFill>
              <a:srgbClr val="264478"/>
            </a:solidFill>
          </c:spPr>
        </ser>
        <ser xmlns="http://schemas.openxmlformats.org/drawingml/2006/chart">
          <c:idx val="7"/>
          <c:order val="7"/>
          <c:tx>
            <c:v>BPN N</c:v>
          </c:tx>
          <c:invertIfNegative val="0"/>
          <c:cat>
            <c:numRef>
              <c:f>'Bridge Work Summary'!$B$283:$M$283</c:f>
            </c:numRef>
          </c:cat>
          <c:val>
            <c:numRef>
              <c:f>'Bridge Work Summary'!$B$291:$M$291</c:f>
            </c:numRef>
          </c:val>
          <c:spPr>
            <a:solidFill>
              <a:srgbClr val="9E480E"/>
            </a:solidFill>
          </c:spPr>
        </ser>
        <ser xmlns="http://schemas.openxmlformats.org/drawingml/2006/chart">
          <c:idx val="8"/>
          <c:order val="8"/>
          <c:tx>
            <c:v>BPN T</c:v>
          </c:tx>
          <c:invertIfNegative val="0"/>
          <c:cat>
            <c:numRef>
              <c:f>'Bridge Work Summary'!$B$283:$M$283</c:f>
            </c:numRef>
          </c:cat>
          <c:val>
            <c:numRef>
              <c:f>'Bridge Work Summary'!$B$292:$M$292</c:f>
            </c:numRef>
          </c:val>
          <c:spPr>
            <a:solidFill>
              <a:srgbClr val="636363"/>
            </a:solidFill>
          </c:spPr>
        </ser>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11.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Posted BPN Deck Area</a:t>
            </a:r>
          </a:p>
        </c:rich>
      </c:tx>
      <c:layout/>
      <c:overlay val="0"/>
    </c:title>
    <c:plotArea>
      <c:layout/>
      <c:barChart>
        <c:barDir val="col"/>
        <c:grouping val="stacked"/>
        <c:varyColors val="0"/>
        <ser xmlns="http://schemas.openxmlformats.org/drawingml/2006/chart">
          <c:idx val="0"/>
          <c:order val="0"/>
          <c:tx>
            <c:v>BPN 1</c:v>
          </c:tx>
          <c:invertIfNegative val="0"/>
          <c:cat>
            <c:numRef>
              <c:f>'Bridge Work Summary'!$B$295:$M$295</c:f>
            </c:numRef>
          </c:cat>
          <c:val>
            <c:numRef>
              <c:f>'Bridge Work Summary'!$B$296:$M$296</c:f>
            </c:numRef>
          </c:val>
          <c:spPr>
            <a:solidFill>
              <a:srgbClr val="4472C4"/>
            </a:solidFill>
          </c:spPr>
        </ser>
        <ser xmlns="http://schemas.openxmlformats.org/drawingml/2006/chart">
          <c:idx val="1"/>
          <c:order val="1"/>
          <c:tx>
            <c:v>BPN 2</c:v>
          </c:tx>
          <c:invertIfNegative val="0"/>
          <c:cat>
            <c:numRef>
              <c:f>'Bridge Work Summary'!$B$295:$M$295</c:f>
            </c:numRef>
          </c:cat>
          <c:val>
            <c:numRef>
              <c:f>'Bridge Work Summary'!$B$297:$M$297</c:f>
            </c:numRef>
          </c:val>
          <c:spPr>
            <a:solidFill>
              <a:srgbClr val="ED7D31"/>
            </a:solidFill>
          </c:spPr>
        </ser>
        <ser xmlns="http://schemas.openxmlformats.org/drawingml/2006/chart">
          <c:idx val="2"/>
          <c:order val="2"/>
          <c:tx>
            <c:v>BPN 3</c:v>
          </c:tx>
          <c:invertIfNegative val="0"/>
          <c:cat>
            <c:numRef>
              <c:f>'Bridge Work Summary'!$B$295:$M$295</c:f>
            </c:numRef>
          </c:cat>
          <c:val>
            <c:numRef>
              <c:f>'Bridge Work Summary'!$B$298:$M$298</c:f>
            </c:numRef>
          </c:val>
          <c:spPr>
            <a:solidFill>
              <a:srgbClr val="A5A5A5"/>
            </a:solidFill>
          </c:spPr>
        </ser>
        <ser xmlns="http://schemas.openxmlformats.org/drawingml/2006/chart">
          <c:idx val="3"/>
          <c:order val="3"/>
          <c:tx>
            <c:v>BPN 4</c:v>
          </c:tx>
          <c:invertIfNegative val="0"/>
          <c:cat>
            <c:numRef>
              <c:f>'Bridge Work Summary'!$B$295:$M$295</c:f>
            </c:numRef>
          </c:cat>
          <c:val>
            <c:numRef>
              <c:f>'Bridge Work Summary'!$B$299:$M$299</c:f>
            </c:numRef>
          </c:val>
          <c:spPr>
            <a:solidFill>
              <a:srgbClr val="FFC000"/>
            </a:solidFill>
          </c:spPr>
        </ser>
        <ser xmlns="http://schemas.openxmlformats.org/drawingml/2006/chart">
          <c:idx val="4"/>
          <c:order val="4"/>
          <c:tx>
            <c:v>BPN D</c:v>
          </c:tx>
          <c:invertIfNegative val="0"/>
          <c:cat>
            <c:numRef>
              <c:f>'Bridge Work Summary'!$B$295:$M$295</c:f>
            </c:numRef>
          </c:cat>
          <c:val>
            <c:numRef>
              <c:f>'Bridge Work Summary'!$B$300:$M$300</c:f>
            </c:numRef>
          </c:val>
          <c:spPr>
            <a:solidFill>
              <a:srgbClr val="5B9B15"/>
            </a:solidFill>
          </c:spPr>
        </ser>
        <ser xmlns="http://schemas.openxmlformats.org/drawingml/2006/chart">
          <c:idx val="5"/>
          <c:order val="5"/>
          <c:tx>
            <c:v>BPN H</c:v>
          </c:tx>
          <c:invertIfNegative val="0"/>
          <c:cat>
            <c:numRef>
              <c:f>'Bridge Work Summary'!$B$295:$M$295</c:f>
            </c:numRef>
          </c:cat>
          <c:val>
            <c:numRef>
              <c:f>'Bridge Work Summary'!$B$301:$M$301</c:f>
            </c:numRef>
          </c:val>
          <c:spPr>
            <a:solidFill>
              <a:srgbClr val="70AD47"/>
            </a:solidFill>
          </c:spPr>
        </ser>
        <ser xmlns="http://schemas.openxmlformats.org/drawingml/2006/chart">
          <c:idx val="6"/>
          <c:order val="6"/>
          <c:tx>
            <c:v>BPN L</c:v>
          </c:tx>
          <c:invertIfNegative val="0"/>
          <c:cat>
            <c:numRef>
              <c:f>'Bridge Work Summary'!$B$295:$M$295</c:f>
            </c:numRef>
          </c:cat>
          <c:val>
            <c:numRef>
              <c:f>'Bridge Work Summary'!$B$302:$M$302</c:f>
            </c:numRef>
          </c:val>
          <c:spPr>
            <a:solidFill>
              <a:srgbClr val="264478"/>
            </a:solidFill>
          </c:spPr>
        </ser>
        <ser xmlns="http://schemas.openxmlformats.org/drawingml/2006/chart">
          <c:idx val="7"/>
          <c:order val="7"/>
          <c:tx>
            <c:v>BPN N</c:v>
          </c:tx>
          <c:invertIfNegative val="0"/>
          <c:cat>
            <c:numRef>
              <c:f>'Bridge Work Summary'!$B$295:$M$295</c:f>
            </c:numRef>
          </c:cat>
          <c:val>
            <c:numRef>
              <c:f>'Bridge Work Summary'!$B$303:$M$303</c:f>
            </c:numRef>
          </c:val>
          <c:spPr>
            <a:solidFill>
              <a:srgbClr val="9E480E"/>
            </a:solidFill>
          </c:spPr>
        </ser>
        <ser xmlns="http://schemas.openxmlformats.org/drawingml/2006/chart">
          <c:idx val="8"/>
          <c:order val="8"/>
          <c:tx>
            <c:v>BPN T</c:v>
          </c:tx>
          <c:invertIfNegative val="0"/>
          <c:cat>
            <c:numRef>
              <c:f>'Bridge Work Summary'!$B$295:$M$295</c:f>
            </c:numRef>
          </c:cat>
          <c:val>
            <c:numRef>
              <c:f>'Bridge Work Summary'!$B$304:$M$304</c:f>
            </c:numRef>
          </c:val>
          <c:spPr>
            <a:solidFill>
              <a:srgbClr val="636363"/>
            </a:solidFill>
          </c:spPr>
        </ser>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title>
          <c:tx>
            <c:rich>
              <a:bodyPr vert="vert"/>
              <a:lstStyle/>
              <a:p>
                <a:r>
                  <a:rPr sz="1000"/>
                  <a:t>Millions sqft</a:t>
                </a:r>
              </a:p>
            </c:rich>
          </c:tx>
          <c:layout/>
          <c:overlay val="0"/>
        </c:title>
        <c:numFmt formatCode="_(* #,##0.00_);_(* (#,##0.00);_(* -??_);_(@_)" sourceLinked="0"/>
        <c:majorTickMark val="none"/>
        <c:minorTickMark val="none"/>
        <c:tickLblPos val="nextTo"/>
        <c:spPr>
          <a:ln>
            <a:noFill/>
          </a:ln>
        </c:spPr>
        <c:crossAx val="1"/>
        <c:crosses val="autoZero"/>
        <c:crossBetween val="between"/>
        <c:dispUnits>
          <c:builtInUnit val="millions"/>
        </c:dispUnits>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12.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Close BPN Bridge Count</a:t>
            </a:r>
          </a:p>
        </c:rich>
      </c:tx>
      <c:layout/>
      <c:overlay val="0"/>
    </c:title>
    <c:plotArea>
      <c:layout/>
      <c:barChart>
        <c:barDir val="col"/>
        <c:grouping val="stacked"/>
        <c:varyColors val="0"/>
        <ser xmlns="http://schemas.openxmlformats.org/drawingml/2006/chart">
          <c:idx val="0"/>
          <c:order val="0"/>
          <c:tx>
            <c:v>BPN 1</c:v>
          </c:tx>
          <c:invertIfNegative val="0"/>
          <c:cat>
            <c:numRef>
              <c:f>'Bridge Work Summary'!$B$307:$M$307</c:f>
            </c:numRef>
          </c:cat>
          <c:val>
            <c:numRef>
              <c:f>'Bridge Work Summary'!$B$308:$M$308</c:f>
            </c:numRef>
          </c:val>
          <c:spPr>
            <a:solidFill>
              <a:srgbClr val="4472C4"/>
            </a:solidFill>
          </c:spPr>
        </ser>
        <ser xmlns="http://schemas.openxmlformats.org/drawingml/2006/chart">
          <c:idx val="1"/>
          <c:order val="1"/>
          <c:tx>
            <c:v>BPN 2</c:v>
          </c:tx>
          <c:invertIfNegative val="0"/>
          <c:cat>
            <c:numRef>
              <c:f>'Bridge Work Summary'!$B$307:$M$307</c:f>
            </c:numRef>
          </c:cat>
          <c:val>
            <c:numRef>
              <c:f>'Bridge Work Summary'!$B$309:$M$309</c:f>
            </c:numRef>
          </c:val>
          <c:spPr>
            <a:solidFill>
              <a:srgbClr val="ED7D31"/>
            </a:solidFill>
          </c:spPr>
        </ser>
        <ser xmlns="http://schemas.openxmlformats.org/drawingml/2006/chart">
          <c:idx val="2"/>
          <c:order val="2"/>
          <c:tx>
            <c:v>BPN 3</c:v>
          </c:tx>
          <c:invertIfNegative val="0"/>
          <c:cat>
            <c:numRef>
              <c:f>'Bridge Work Summary'!$B$307:$M$307</c:f>
            </c:numRef>
          </c:cat>
          <c:val>
            <c:numRef>
              <c:f>'Bridge Work Summary'!$B$310:$M$310</c:f>
            </c:numRef>
          </c:val>
          <c:spPr>
            <a:solidFill>
              <a:srgbClr val="A5A5A5"/>
            </a:solidFill>
          </c:spPr>
        </ser>
        <ser xmlns="http://schemas.openxmlformats.org/drawingml/2006/chart">
          <c:idx val="3"/>
          <c:order val="3"/>
          <c:tx>
            <c:v>BPN 4</c:v>
          </c:tx>
          <c:invertIfNegative val="0"/>
          <c:cat>
            <c:numRef>
              <c:f>'Bridge Work Summary'!$B$307:$M$307</c:f>
            </c:numRef>
          </c:cat>
          <c:val>
            <c:numRef>
              <c:f>'Bridge Work Summary'!$B$311:$M$311</c:f>
            </c:numRef>
          </c:val>
          <c:spPr>
            <a:solidFill>
              <a:srgbClr val="FFC000"/>
            </a:solidFill>
          </c:spPr>
        </ser>
        <ser xmlns="http://schemas.openxmlformats.org/drawingml/2006/chart">
          <c:idx val="4"/>
          <c:order val="4"/>
          <c:tx>
            <c:v>BPN D</c:v>
          </c:tx>
          <c:invertIfNegative val="0"/>
          <c:cat>
            <c:numRef>
              <c:f>'Bridge Work Summary'!$B$307:$M$307</c:f>
            </c:numRef>
          </c:cat>
          <c:val>
            <c:numRef>
              <c:f>'Bridge Work Summary'!$B$312:$M$312</c:f>
            </c:numRef>
          </c:val>
          <c:spPr>
            <a:solidFill>
              <a:srgbClr val="5B9B15"/>
            </a:solidFill>
          </c:spPr>
        </ser>
        <ser xmlns="http://schemas.openxmlformats.org/drawingml/2006/chart">
          <c:idx val="5"/>
          <c:order val="5"/>
          <c:tx>
            <c:v>BPN H</c:v>
          </c:tx>
          <c:invertIfNegative val="0"/>
          <c:cat>
            <c:numRef>
              <c:f>'Bridge Work Summary'!$B$307:$M$307</c:f>
            </c:numRef>
          </c:cat>
          <c:val>
            <c:numRef>
              <c:f>'Bridge Work Summary'!$B$313:$M$313</c:f>
            </c:numRef>
          </c:val>
          <c:spPr>
            <a:solidFill>
              <a:srgbClr val="70AD47"/>
            </a:solidFill>
          </c:spPr>
        </ser>
        <ser xmlns="http://schemas.openxmlformats.org/drawingml/2006/chart">
          <c:idx val="6"/>
          <c:order val="6"/>
          <c:tx>
            <c:v>BPN L</c:v>
          </c:tx>
          <c:invertIfNegative val="0"/>
          <c:cat>
            <c:numRef>
              <c:f>'Bridge Work Summary'!$B$307:$M$307</c:f>
            </c:numRef>
          </c:cat>
          <c:val>
            <c:numRef>
              <c:f>'Bridge Work Summary'!$B$314:$M$314</c:f>
            </c:numRef>
          </c:val>
          <c:spPr>
            <a:solidFill>
              <a:srgbClr val="264478"/>
            </a:solidFill>
          </c:spPr>
        </ser>
        <ser xmlns="http://schemas.openxmlformats.org/drawingml/2006/chart">
          <c:idx val="7"/>
          <c:order val="7"/>
          <c:tx>
            <c:v>BPN N</c:v>
          </c:tx>
          <c:invertIfNegative val="0"/>
          <c:cat>
            <c:numRef>
              <c:f>'Bridge Work Summary'!$B$307:$M$307</c:f>
            </c:numRef>
          </c:cat>
          <c:val>
            <c:numRef>
              <c:f>'Bridge Work Summary'!$B$315:$M$315</c:f>
            </c:numRef>
          </c:val>
          <c:spPr>
            <a:solidFill>
              <a:srgbClr val="9E480E"/>
            </a:solidFill>
          </c:spPr>
        </ser>
        <ser xmlns="http://schemas.openxmlformats.org/drawingml/2006/chart">
          <c:idx val="8"/>
          <c:order val="8"/>
          <c:tx>
            <c:v>BPN T</c:v>
          </c:tx>
          <c:invertIfNegative val="0"/>
          <c:cat>
            <c:numRef>
              <c:f>'Bridge Work Summary'!$B$307:$M$307</c:f>
            </c:numRef>
          </c:cat>
          <c:val>
            <c:numRef>
              <c:f>'Bridge Work Summary'!$B$316:$M$316</c:f>
            </c:numRef>
          </c:val>
          <c:spPr>
            <a:solidFill>
              <a:srgbClr val="636363"/>
            </a:solidFill>
          </c:spPr>
        </ser>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13.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Closed BPN Deck Area</a:t>
            </a:r>
          </a:p>
        </c:rich>
      </c:tx>
      <c:layout/>
      <c:overlay val="0"/>
    </c:title>
    <c:plotArea>
      <c:layout/>
      <c:barChart>
        <c:barDir val="col"/>
        <c:grouping val="stacked"/>
        <c:varyColors val="0"/>
        <ser xmlns="http://schemas.openxmlformats.org/drawingml/2006/chart">
          <c:idx val="0"/>
          <c:order val="0"/>
          <c:tx>
            <c:v>BPN 1</c:v>
          </c:tx>
          <c:invertIfNegative val="0"/>
          <c:cat>
            <c:numRef>
              <c:f>'Bridge Work Summary'!$B$319:$M$319</c:f>
            </c:numRef>
          </c:cat>
          <c:val>
            <c:numRef>
              <c:f>'Bridge Work Summary'!$B$320:$M$320</c:f>
            </c:numRef>
          </c:val>
          <c:spPr>
            <a:solidFill>
              <a:srgbClr val="4472C4"/>
            </a:solidFill>
          </c:spPr>
        </ser>
        <ser xmlns="http://schemas.openxmlformats.org/drawingml/2006/chart">
          <c:idx val="1"/>
          <c:order val="1"/>
          <c:tx>
            <c:v>BPN 2</c:v>
          </c:tx>
          <c:invertIfNegative val="0"/>
          <c:cat>
            <c:numRef>
              <c:f>'Bridge Work Summary'!$B$319:$M$319</c:f>
            </c:numRef>
          </c:cat>
          <c:val>
            <c:numRef>
              <c:f>'Bridge Work Summary'!$B$321:$M$321</c:f>
            </c:numRef>
          </c:val>
          <c:spPr>
            <a:solidFill>
              <a:srgbClr val="ED7D31"/>
            </a:solidFill>
          </c:spPr>
        </ser>
        <ser xmlns="http://schemas.openxmlformats.org/drawingml/2006/chart">
          <c:idx val="2"/>
          <c:order val="2"/>
          <c:tx>
            <c:v>BPN 3</c:v>
          </c:tx>
          <c:invertIfNegative val="0"/>
          <c:cat>
            <c:numRef>
              <c:f>'Bridge Work Summary'!$B$319:$M$319</c:f>
            </c:numRef>
          </c:cat>
          <c:val>
            <c:numRef>
              <c:f>'Bridge Work Summary'!$B$322:$M$322</c:f>
            </c:numRef>
          </c:val>
          <c:spPr>
            <a:solidFill>
              <a:srgbClr val="A5A5A5"/>
            </a:solidFill>
          </c:spPr>
        </ser>
        <ser xmlns="http://schemas.openxmlformats.org/drawingml/2006/chart">
          <c:idx val="3"/>
          <c:order val="3"/>
          <c:tx>
            <c:v>BPN 4</c:v>
          </c:tx>
          <c:invertIfNegative val="0"/>
          <c:cat>
            <c:numRef>
              <c:f>'Bridge Work Summary'!$B$319:$M$319</c:f>
            </c:numRef>
          </c:cat>
          <c:val>
            <c:numRef>
              <c:f>'Bridge Work Summary'!$B$323:$M$323</c:f>
            </c:numRef>
          </c:val>
          <c:spPr>
            <a:solidFill>
              <a:srgbClr val="FFC000"/>
            </a:solidFill>
          </c:spPr>
        </ser>
        <ser xmlns="http://schemas.openxmlformats.org/drawingml/2006/chart">
          <c:idx val="4"/>
          <c:order val="4"/>
          <c:tx>
            <c:v>BPN D</c:v>
          </c:tx>
          <c:invertIfNegative val="0"/>
          <c:cat>
            <c:numRef>
              <c:f>'Bridge Work Summary'!$B$319:$M$319</c:f>
            </c:numRef>
          </c:cat>
          <c:val>
            <c:numRef>
              <c:f>'Bridge Work Summary'!$B$324:$M$324</c:f>
            </c:numRef>
          </c:val>
          <c:spPr>
            <a:solidFill>
              <a:srgbClr val="5B9B15"/>
            </a:solidFill>
          </c:spPr>
        </ser>
        <ser xmlns="http://schemas.openxmlformats.org/drawingml/2006/chart">
          <c:idx val="5"/>
          <c:order val="5"/>
          <c:tx>
            <c:v>BPN H</c:v>
          </c:tx>
          <c:invertIfNegative val="0"/>
          <c:cat>
            <c:numRef>
              <c:f>'Bridge Work Summary'!$B$319:$M$319</c:f>
            </c:numRef>
          </c:cat>
          <c:val>
            <c:numRef>
              <c:f>'Bridge Work Summary'!$B$325:$M$325</c:f>
            </c:numRef>
          </c:val>
          <c:spPr>
            <a:solidFill>
              <a:srgbClr val="70AD47"/>
            </a:solidFill>
          </c:spPr>
        </ser>
        <ser xmlns="http://schemas.openxmlformats.org/drawingml/2006/chart">
          <c:idx val="6"/>
          <c:order val="6"/>
          <c:tx>
            <c:v>BPN L</c:v>
          </c:tx>
          <c:invertIfNegative val="0"/>
          <c:cat>
            <c:numRef>
              <c:f>'Bridge Work Summary'!$B$319:$M$319</c:f>
            </c:numRef>
          </c:cat>
          <c:val>
            <c:numRef>
              <c:f>'Bridge Work Summary'!$B$326:$M$326</c:f>
            </c:numRef>
          </c:val>
          <c:spPr>
            <a:solidFill>
              <a:srgbClr val="264478"/>
            </a:solidFill>
          </c:spPr>
        </ser>
        <ser xmlns="http://schemas.openxmlformats.org/drawingml/2006/chart">
          <c:idx val="7"/>
          <c:order val="7"/>
          <c:tx>
            <c:v>BPN N</c:v>
          </c:tx>
          <c:invertIfNegative val="0"/>
          <c:cat>
            <c:numRef>
              <c:f>'Bridge Work Summary'!$B$319:$M$319</c:f>
            </c:numRef>
          </c:cat>
          <c:val>
            <c:numRef>
              <c:f>'Bridge Work Summary'!$B$327:$M$327</c:f>
            </c:numRef>
          </c:val>
          <c:spPr>
            <a:solidFill>
              <a:srgbClr val="9E480E"/>
            </a:solidFill>
          </c:spPr>
        </ser>
        <ser xmlns="http://schemas.openxmlformats.org/drawingml/2006/chart">
          <c:idx val="8"/>
          <c:order val="8"/>
          <c:tx>
            <c:v>BPN T</c:v>
          </c:tx>
          <c:invertIfNegative val="0"/>
          <c:cat>
            <c:numRef>
              <c:f>'Bridge Work Summary'!$B$319:$M$319</c:f>
            </c:numRef>
          </c:cat>
          <c:val>
            <c:numRef>
              <c:f>'Bridge Work Summary'!$B$328:$M$328</c:f>
            </c:numRef>
          </c:val>
          <c:spPr>
            <a:solidFill>
              <a:srgbClr val="636363"/>
            </a:solidFill>
          </c:spPr>
        </ser>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title>
          <c:tx>
            <c:rich>
              <a:bodyPr vert="vert"/>
              <a:lstStyle/>
              <a:p>
                <a:r>
                  <a:rPr sz="1000"/>
                  <a:t>Millions sqft</a:t>
                </a:r>
              </a:p>
            </c:rich>
          </c:tx>
          <c:layout/>
          <c:overlay val="0"/>
        </c:title>
        <c:numFmt formatCode="_(* #,##0.00_);_(* (#,##0.00);_(* -??_);_(@_)" sourceLinked="0"/>
        <c:majorTickMark val="none"/>
        <c:minorTickMark val="none"/>
        <c:tickLblPos val="nextTo"/>
        <c:spPr>
          <a:ln>
            <a:noFill/>
          </a:ln>
        </c:spPr>
        <c:crossAx val="1"/>
        <c:crosses val="autoZero"/>
        <c:crossBetween val="between"/>
        <c:dispUnits>
          <c:builtInUnit val="millions"/>
        </c:dispUnits>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14.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Combined Posted and Closed Bridges</a:t>
            </a:r>
          </a:p>
        </c:rich>
      </c:tx>
      <c:layout/>
      <c:overlay val="0"/>
    </c:title>
    <c:plotArea>
      <c:layout/>
      <c:barChart>
        <c:barDir val="col"/>
        <c:grouping val="stacked"/>
        <c:varyColors val="0"/>
        <ser xmlns="http://schemas.openxmlformats.org/drawingml/2006/chart">
          <c:idx val="0"/>
          <c:order val="0"/>
          <c:tx>
            <c:v>Closed</c:v>
          </c:tx>
          <c:invertIfNegative val="0"/>
          <c:cat>
            <c:numRef>
              <c:f>'Bridge Work Summary'!$B$331:$M$331</c:f>
            </c:numRef>
          </c:cat>
          <c:val>
            <c:numRef>
              <c:f>'Bridge Work Summary'!$B$332:$M$332</c:f>
            </c:numRef>
          </c:val>
          <c:spPr>
            <a:solidFill>
              <a:srgbClr val="FF0000"/>
            </a:solidFill>
          </c:spPr>
        </ser>
        <ser xmlns="http://schemas.openxmlformats.org/drawingml/2006/chart">
          <c:idx val="1"/>
          <c:order val="1"/>
          <c:tx>
            <c:v>Posted</c:v>
          </c:tx>
          <c:invertIfNegative val="0"/>
          <c:cat>
            <c:numRef>
              <c:f>'Bridge Work Summary'!$B$331:$M$331</c:f>
            </c:numRef>
          </c:cat>
          <c:val>
            <c:numRef>
              <c:f>'Bridge Work Summary'!$B$333:$M$333</c:f>
            </c:numRef>
          </c:val>
          <c:spPr>
            <a:solidFill>
              <a:srgbClr val="FFFF00"/>
            </a:solidFill>
          </c:spPr>
        </ser>
        <c:overlap val="100"/>
        <c:axId val="1"/>
        <c:axId val="2"/>
      </c:bar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majorTickMark val="none"/>
        <c:minorTickMark val="none"/>
        <c:tickLblPos val="nextTo"/>
        <c:spPr>
          <a:ln>
            <a:noFill/>
          </a:ln>
        </c:spPr>
        <c:crossAx val="1"/>
        <c:crosses val="autoZero"/>
        <c:crossBetween val="between"/>
      </c:valAx>
      <c:spPr>
        <a:ln>
          <a:noFill/>
        </a:ln>
      </c:spPr>
    </c:plotArea>
    <c:legend>
      <c:legendPos val="b"/>
      <c:layout/>
      <c:overlay val="0"/>
    </c:legend>
    <c:plotVisOnly val="1"/>
  </c:chart>
  <c:printSettings>
    <c:headerFooter/>
    <c:pageMargins b="0.75" l="0.7" r="0.7" t="0.75" header="0.3" footer="0.3"/>
    <c:pageSetup/>
  </c:printSettings>
  <c:roundedCorners val="0"/>
</c:chartSpace>
</file>

<file path=xl/charts/chart15.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Investment Needed By BPN / Deck Area</a:t>
            </a:r>
          </a:p>
        </c:rich>
      </c:tx>
      <c:layout/>
      <c:overlay val="0"/>
    </c:title>
    <c:plotArea>
      <c:layout/>
      <c:barChart>
        <c:barDir val="col"/>
        <c:grouping val="stacked"/>
        <c:varyColors val="0"/>
        <ser xmlns="http://schemas.openxmlformats.org/drawingml/2006/chart">
          <c:idx val="0"/>
          <c:order val="0"/>
          <c:tx>
            <c:v>BPN 1</c:v>
          </c:tx>
          <c:invertIfNegative val="0"/>
          <c:cat>
            <c:numRef>
              <c:f>'Bridge Work Summary'!$C$335:$M$335</c:f>
            </c:numRef>
          </c:cat>
          <c:val>
            <c:numRef>
              <c:f>'Bridge Work Summary'!$C$336:$M$336</c:f>
            </c:numRef>
          </c:val>
          <c:spPr>
            <a:solidFill>
              <a:srgbClr val="4472C4"/>
            </a:solidFill>
          </c:spPr>
        </ser>
        <ser xmlns="http://schemas.openxmlformats.org/drawingml/2006/chart">
          <c:idx val="1"/>
          <c:order val="1"/>
          <c:tx>
            <c:v>BPN 2</c:v>
          </c:tx>
          <c:invertIfNegative val="0"/>
          <c:cat>
            <c:numRef>
              <c:f>'Bridge Work Summary'!$C$335:$M$335</c:f>
            </c:numRef>
          </c:cat>
          <c:val>
            <c:numRef>
              <c:f>'Bridge Work Summary'!$C$337:$M$337</c:f>
            </c:numRef>
          </c:val>
          <c:spPr>
            <a:solidFill>
              <a:srgbClr val="ED7D31"/>
            </a:solidFill>
          </c:spPr>
        </ser>
        <ser xmlns="http://schemas.openxmlformats.org/drawingml/2006/chart">
          <c:idx val="2"/>
          <c:order val="2"/>
          <c:tx>
            <c:v>BPN 3</c:v>
          </c:tx>
          <c:invertIfNegative val="0"/>
          <c:cat>
            <c:numRef>
              <c:f>'Bridge Work Summary'!$C$335:$M$335</c:f>
            </c:numRef>
          </c:cat>
          <c:val>
            <c:numRef>
              <c:f>'Bridge Work Summary'!$C$338:$M$338</c:f>
            </c:numRef>
          </c:val>
          <c:spPr>
            <a:solidFill>
              <a:srgbClr val="A5A5A5"/>
            </a:solidFill>
          </c:spPr>
        </ser>
        <ser xmlns="http://schemas.openxmlformats.org/drawingml/2006/chart">
          <c:idx val="3"/>
          <c:order val="3"/>
          <c:tx>
            <c:v>BPN 4</c:v>
          </c:tx>
          <c:invertIfNegative val="0"/>
          <c:cat>
            <c:numRef>
              <c:f>'Bridge Work Summary'!$C$335:$M$335</c:f>
            </c:numRef>
          </c:cat>
          <c:val>
            <c:numRef>
              <c:f>'Bridge Work Summary'!$C$339:$M$339</c:f>
            </c:numRef>
          </c:val>
          <c:spPr>
            <a:solidFill>
              <a:srgbClr val="FFC000"/>
            </a:solidFill>
          </c:spPr>
        </ser>
        <ser xmlns="http://schemas.openxmlformats.org/drawingml/2006/chart">
          <c:idx val="4"/>
          <c:order val="4"/>
          <c:tx>
            <c:v>BPN D</c:v>
          </c:tx>
          <c:invertIfNegative val="0"/>
          <c:cat>
            <c:numRef>
              <c:f>'Bridge Work Summary'!$C$335:$M$335</c:f>
            </c:numRef>
          </c:cat>
          <c:val>
            <c:numRef>
              <c:f>'Bridge Work Summary'!$C$340:$M$340</c:f>
            </c:numRef>
          </c:val>
          <c:spPr>
            <a:solidFill>
              <a:srgbClr val="5B9B15"/>
            </a:solidFill>
          </c:spPr>
        </ser>
        <ser xmlns="http://schemas.openxmlformats.org/drawingml/2006/chart">
          <c:idx val="5"/>
          <c:order val="5"/>
          <c:tx>
            <c:v>BPN H</c:v>
          </c:tx>
          <c:invertIfNegative val="0"/>
          <c:cat>
            <c:numRef>
              <c:f>'Bridge Work Summary'!$C$335:$M$335</c:f>
            </c:numRef>
          </c:cat>
          <c:val>
            <c:numRef>
              <c:f>'Bridge Work Summary'!$C$341:$M$341</c:f>
            </c:numRef>
          </c:val>
          <c:spPr>
            <a:solidFill>
              <a:srgbClr val="70AD47"/>
            </a:solidFill>
          </c:spPr>
        </ser>
        <ser xmlns="http://schemas.openxmlformats.org/drawingml/2006/chart">
          <c:idx val="6"/>
          <c:order val="6"/>
          <c:tx>
            <c:v>BPN L</c:v>
          </c:tx>
          <c:invertIfNegative val="0"/>
          <c:cat>
            <c:numRef>
              <c:f>'Bridge Work Summary'!$C$335:$M$335</c:f>
            </c:numRef>
          </c:cat>
          <c:val>
            <c:numRef>
              <c:f>'Bridge Work Summary'!$C$342:$M$342</c:f>
            </c:numRef>
          </c:val>
          <c:spPr>
            <a:solidFill>
              <a:srgbClr val="264478"/>
            </a:solidFill>
          </c:spPr>
        </ser>
        <ser xmlns="http://schemas.openxmlformats.org/drawingml/2006/chart">
          <c:idx val="7"/>
          <c:order val="7"/>
          <c:tx>
            <c:v>BPN N</c:v>
          </c:tx>
          <c:invertIfNegative val="0"/>
          <c:cat>
            <c:numRef>
              <c:f>'Bridge Work Summary'!$C$335:$M$335</c:f>
            </c:numRef>
          </c:cat>
          <c:val>
            <c:numRef>
              <c:f>'Bridge Work Summary'!$C$343:$M$343</c:f>
            </c:numRef>
          </c:val>
          <c:spPr>
            <a:solidFill>
              <a:srgbClr val="9E480E"/>
            </a:solidFill>
          </c:spPr>
        </ser>
        <ser xmlns="http://schemas.openxmlformats.org/drawingml/2006/chart">
          <c:idx val="8"/>
          <c:order val="8"/>
          <c:tx>
            <c:v>BPN T</c:v>
          </c:tx>
          <c:invertIfNegative val="0"/>
          <c:cat>
            <c:numRef>
              <c:f>'Bridge Work Summary'!$C$335:$M$335</c:f>
            </c:numRef>
          </c:cat>
          <c:val>
            <c:numRef>
              <c:f>'Bridge Work Summary'!$C$344:$M$344</c:f>
            </c:numRef>
          </c:val>
          <c:spPr>
            <a:solidFill>
              <a:srgbClr val="636363"/>
            </a:solidFill>
          </c:spPr>
        </ser>
        <c:overlap val="100"/>
        <c:axId val="1"/>
        <c:axId val="2"/>
      </c:barChart>
      <c:lineChart>
        <c:grouping val="standard"/>
        <c:varyColors val="0"/>
        <ser xmlns="http://schemas.openxmlformats.org/drawingml/2006/chart">
          <c:idx val="9"/>
          <c:order val="9"/>
          <c:tx>
            <c:v>Annualized Amount</c:v>
          </c:tx>
          <c:marker>
            <c:symbol val="none"/>
          </c:marker>
          <c:cat>
            <c:numRef>
              <c:f>'Bridge Work Summary'!$C$335:$M$335</c:f>
            </c:numRef>
          </c:cat>
          <c:val>
            <c:numRef>
              <c:f>'Bridge Work Summary'!$C$345:$M$345</c:f>
            </c:numRef>
          </c:val>
          <c:smooth val="0"/>
          <c:spPr>
            <a:ln>
              <a:solidFill>
                <a:srgbClr val="0000FF"/>
              </a:solidFill>
            </a:ln>
          </c:spPr>
        </ser>
        <c:smooth val="0"/>
        <c:axId val="1"/>
        <c:axId val="2"/>
      </c:lineChart>
      <c:catAx>
        <c:axId val="1"/>
        <c:scaling>
          <c:orientation val="minMax"/>
        </c:scaling>
        <c:delete val="0"/>
        <c:axPos val="b"/>
        <c:majorTickMark val="none"/>
        <c:minorTickMark val="none"/>
        <c:tickLblPos val="nextTo"/>
        <c:spPr>
          <a:ln>
            <a:noFill/>
          </a:ln>
        </c:spPr>
        <c:crossAx val="2"/>
        <c:crosses val="autoZero"/>
        <c:auto val="1"/>
        <c:lblAlgn val="ctr"/>
        <c:lblOffset val="100"/>
      </c:catAx>
      <c:valAx>
        <c:axId val="2"/>
        <c:scaling>
          <c:orientation val="minMax"/>
        </c:scaling>
        <c:delete val="0"/>
        <c:axPos val="l"/>
        <c:majorGridlines>
          <c:spPr>
            <a:ln>
              <a:solidFill>
                <a:srgbClr val="D3D3D3"/>
              </a:solidFill>
            </a:ln>
          </c:spPr>
        </c:majorGridlines>
        <c:title>
          <c:tx>
            <c:rich>
              <a:bodyPr vert="vert"/>
              <a:lstStyle/>
              <a:p>
                <a:r>
                  <a:rPr sz="1000"/>
                  <a:t>Millions ($)</a:t>
                </a:r>
              </a:p>
            </c:rich>
          </c:tx>
          <c:layout/>
          <c:overlay val="0"/>
        </c:title>
        <c:numFmt formatCode="_-$* #,##0_-;$* (#,##0)_-;_-$* &quot;-&quot;??_-;_-@_-" sourceLinked="0"/>
        <c:majorTickMark val="none"/>
        <c:minorTickMark val="none"/>
        <c:tickLblPos val="nextTo"/>
        <c:spPr>
          <a:ln>
            <a:noFill/>
          </a:ln>
        </c:spPr>
        <c:crossAx val="1"/>
        <c:crosses val="autoZero"/>
        <c:crossBetween val="between"/>
        <c:dispUnits>
          <c:builtInUnit val="millions"/>
        </c:dispUnits>
      </c:valAx>
      <c:spPr>
        <a:ln>
          <a:noFill/>
        </a:ln>
      </c:spPr>
    </c:plotArea>
    <c:legend>
      <c:legendPos val="b"/>
      <c:layout/>
      <c:overlay val="0"/>
    </c:legend>
    <c:plotVisOnly val="1"/>
  </c:chart>
  <c:printSettings>
    <c:headerFooter/>
    <c:pageMargins b="0.75" l="0.7" r="0.7" t="0.75" header="0.3" footer="0.3"/>
    <c:pageSetup/>
  </c:printSettings>
  <c:roundedCorners val="0"/>
</c:chartSpace>
</file>

<file path=xl/drawings/_rels/drawing10.xml.rels><?xml version="1.0" encoding="UTF-8" standalone="yes"?><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Relationships xmlns="http://schemas.openxmlformats.org/package/2006/relationships"><Relationship Id="rId1" Type="http://schemas.openxmlformats.org/officeDocument/2006/relationships/chart" Target="../charts/chart2.xml"/></Relationships>
</file>

<file path=xl/drawings/_rels/drawing12.xml.rels><?xml version="1.0" encoding="UTF-8" standalone="yes"?><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Relationships xmlns="http://schemas.openxmlformats.org/package/2006/relationships"><Relationship Id="rId1" Type="http://schemas.openxmlformats.org/officeDocument/2006/relationships/chart" Target="../charts/chart4.xml"/></Relationships>
</file>

<file path=xl/drawings/_rels/drawing14.xml.rels><?xml version="1.0" encoding="UTF-8" standalone="yes"?><Relationships xmlns="http://schemas.openxmlformats.org/package/2006/relationships"><Relationship Id="rId1" Type="http://schemas.openxmlformats.org/officeDocument/2006/relationships/chart" Target="../charts/chart5.xml"/></Relationships>
</file>

<file path=xl/drawings/_rels/drawing15.xml.rels><?xml version="1.0" encoding="UTF-8" standalone="yes"?><Relationships xmlns="http://schemas.openxmlformats.org/package/2006/relationships"><Relationship Id="rId1" Type="http://schemas.openxmlformats.org/officeDocument/2006/relationships/chart" Target="../charts/chart6.xml"/></Relationships>
</file>

<file path=xl/drawings/_rels/drawing17.xml.rels><?xml version="1.0" encoding="UTF-8" standalone="yes"?><Relationships xmlns="http://schemas.openxmlformats.org/package/2006/relationships"><Relationship Id="rId1" Type="http://schemas.openxmlformats.org/officeDocument/2006/relationships/chart" Target="../charts/chart7.xml"/></Relationships>
</file>

<file path=xl/drawings/_rels/drawing18.xml.rels><?xml version="1.0" encoding="UTF-8" standalone="yes"?><Relationships xmlns="http://schemas.openxmlformats.org/package/2006/relationships"><Relationship Id="rId1" Type="http://schemas.openxmlformats.org/officeDocument/2006/relationships/chart" Target="../charts/chart8.xml"/></Relationships>
</file>

<file path=xl/drawings/_rels/drawing19.xml.rels><?xml version="1.0" encoding="UTF-8" standalone="yes"?><Relationships xmlns="http://schemas.openxmlformats.org/package/2006/relationships"><Relationship Id="rId1" Type="http://schemas.openxmlformats.org/officeDocument/2006/relationships/chart" Target="../charts/chart9.xml"/></Relationships>
</file>

<file path=xl/drawings/_rels/drawing20.xml.rels><?xml version="1.0" encoding="UTF-8" standalone="yes"?><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Relationships xmlns="http://schemas.openxmlformats.org/package/2006/relationships"><Relationship Id="rId1" Type="http://schemas.openxmlformats.org/officeDocument/2006/relationships/chart" Target="../charts/chart11.xml"/></Relationships>
</file>

<file path=xl/drawings/_rels/drawing22.xml.rels><?xml version="1.0" encoding="UTF-8" standalone="yes"?><Relationships xmlns="http://schemas.openxmlformats.org/package/2006/relationships"><Relationship Id="rId1" Type="http://schemas.openxmlformats.org/officeDocument/2006/relationships/chart" Target="../charts/chart12.xml"/></Relationships>
</file>

<file path=xl/drawings/_rels/drawing23.xml.rels><?xml version="1.0" encoding="UTF-8" standalone="yes"?><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Relationships xmlns="http://schemas.openxmlformats.org/package/2006/relationships"><Relationship Id="rId1" Type="http://schemas.openxmlformats.org/officeDocument/2006/relationships/chart" Target="../charts/chart14.xml"/></Relationships>
</file>

<file path=xl/drawings/_rels/drawing25.xml.rels><?xml version="1.0" encoding="UTF-8" standalone="yes"?><Relationships xmlns="http://schemas.openxmlformats.org/package/2006/relationships"><Relationship Id="rId1" Type="http://schemas.openxmlformats.org/officeDocument/2006/relationships/chart" Target="../charts/chart15.xml"/></Relationships>
</file>

<file path=xl/drawings/drawing10.xml><?xml version="1.0" encoding="utf-8"?>
<xdr:wsDr xmlns:xdr="http://schemas.openxmlformats.org/drawingml/2006/spreadsheetDrawing" xmlns:a="http://schemas.openxmlformats.org/drawingml/2006/main">
  <xdr:twoCellAnchor>
    <xdr:from>
      <xdr:col>6</xdr:col>
      <xdr:colOff>0</xdr:colOff>
      <xdr:row>6</xdr:row>
      <xdr:rowOff>0</xdr:rowOff>
    </xdr:from>
    <xdr:to>
      <xdr:col>22</xdr:col>
      <xdr:colOff>247650</xdr:colOff>
      <xdr:row>41</xdr:row>
      <xdr:rowOff>0</xdr:rowOff>
    </xdr:to>
    <graphicFrame xmlns="http://schemas.openxmlformats.org/drawingml/2006/spreadsheetDrawing" macro="">
      <xdr:nvGraphicFramePr>
        <xdr:cNvPr id="0" name="NHS Condition By Bridge Coun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6</xdr:row>
      <xdr:rowOff>0</xdr:rowOff>
    </xdr:from>
    <xdr:to>
      <xdr:col>22</xdr:col>
      <xdr:colOff>247650</xdr:colOff>
      <xdr:row>41</xdr:row>
      <xdr:rowOff>0</xdr:rowOff>
    </xdr:to>
    <graphicFrame xmlns="http://schemas.openxmlformats.org/drawingml/2006/spreadsheetDrawing" macro="">
      <xdr:nvGraphicFramePr>
        <xdr:cNvPr id="1" name="NHS Condition By Deck Are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6</xdr:row>
      <xdr:rowOff>0</xdr:rowOff>
    </xdr:from>
    <xdr:to>
      <xdr:col>22</xdr:col>
      <xdr:colOff>247650</xdr:colOff>
      <xdr:row>41</xdr:row>
      <xdr:rowOff>0</xdr:rowOff>
    </xdr:to>
    <graphicFrame xmlns="http://schemas.openxmlformats.org/drawingml/2006/spreadsheetDrawing" macro="">
      <xdr:nvGraphicFramePr>
        <xdr:cNvPr id="2" name="Non-NHS Condition By Bridge Coun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6</xdr:row>
      <xdr:rowOff>0</xdr:rowOff>
    </xdr:from>
    <xdr:to>
      <xdr:col>22</xdr:col>
      <xdr:colOff>247650</xdr:colOff>
      <xdr:row>41</xdr:row>
      <xdr:rowOff>0</xdr:rowOff>
    </xdr:to>
    <graphicFrame xmlns="http://schemas.openxmlformats.org/drawingml/2006/spreadsheetDrawing" macro="">
      <xdr:nvGraphicFramePr>
        <xdr:cNvPr id="3" name="Non-NHS Condition By Deck Are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6</xdr:row>
      <xdr:rowOff>0</xdr:rowOff>
    </xdr:from>
    <xdr:to>
      <xdr:col>22</xdr:col>
      <xdr:colOff>247650</xdr:colOff>
      <xdr:row>41</xdr:row>
      <xdr:rowOff>0</xdr:rowOff>
    </xdr:to>
    <graphicFrame xmlns="http://schemas.openxmlformats.org/drawingml/2006/spreadsheetDrawing" macro="">
      <xdr:nvGraphicFramePr>
        <xdr:cNvPr id="4" name="Combine NHS and Non-NHS Condition By Bridge Coun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6</xdr:row>
      <xdr:rowOff>0</xdr:rowOff>
    </xdr:from>
    <xdr:to>
      <xdr:col>22</xdr:col>
      <xdr:colOff>247650</xdr:colOff>
      <xdr:row>41</xdr:row>
      <xdr:rowOff>0</xdr:rowOff>
    </xdr:to>
    <graphicFrame xmlns="http://schemas.openxmlformats.org/drawingml/2006/spreadsheetDrawing" macro="">
      <xdr:nvGraphicFramePr>
        <xdr:cNvPr id="5" name="Combine NHS and Non-NHS With Committed Projects&#10;Condition By Deck Are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17.xml><?xml version="1.0" encoding="utf-8"?>
<xdr:wsDr xmlns:xdr="http://schemas.openxmlformats.org/drawingml/2006/spreadsheetDrawing" xmlns:a="http://schemas.openxmlformats.org/drawingml/2006/main">
  <xdr:twoCellAnchor>
    <xdr:from>
      <xdr:col>5</xdr:col>
      <xdr:colOff>0</xdr:colOff>
      <xdr:row>2</xdr:row>
      <xdr:rowOff>0</xdr:rowOff>
    </xdr:from>
    <xdr:to>
      <xdr:col>21</xdr:col>
      <xdr:colOff>247650</xdr:colOff>
      <xdr:row>42</xdr:row>
      <xdr:rowOff>0</xdr:rowOff>
    </xdr:to>
    <graphicFrame xmlns="http://schemas.openxmlformats.org/drawingml/2006/spreadsheetDrawing" macro="">
      <xdr:nvGraphicFramePr>
        <xdr:cNvPr id="6" name="Poor Bridge Compare Bridge Coun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18.xml><?xml version="1.0" encoding="utf-8"?>
<xdr:wsDr xmlns:xdr="http://schemas.openxmlformats.org/drawingml/2006/spreadsheetDrawing" xmlns:a="http://schemas.openxmlformats.org/drawingml/2006/main">
  <xdr:twoCellAnchor>
    <xdr:from>
      <xdr:col>5</xdr:col>
      <xdr:colOff>0</xdr:colOff>
      <xdr:row>2</xdr:row>
      <xdr:rowOff>0</xdr:rowOff>
    </xdr:from>
    <xdr:to>
      <xdr:col>21</xdr:col>
      <xdr:colOff>247650</xdr:colOff>
      <xdr:row>42</xdr:row>
      <xdr:rowOff>0</xdr:rowOff>
    </xdr:to>
    <graphicFrame xmlns="http://schemas.openxmlformats.org/drawingml/2006/spreadsheetDrawing" macro="">
      <xdr:nvGraphicFramePr>
        <xdr:cNvPr id="7" name="Poor Bridge Compare Deck Are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19.xml><?xml version="1.0" encoding="utf-8"?>
<xdr:wsDr xmlns:xdr="http://schemas.openxmlformats.org/drawingml/2006/spreadsheetDrawing" xmlns:a="http://schemas.openxmlformats.org/drawingml/2006/main">
  <xdr:twoCellAnchor>
    <xdr:from>
      <xdr:col>7</xdr:col>
      <xdr:colOff>0</xdr:colOff>
      <xdr:row>6</xdr:row>
      <xdr:rowOff>0</xdr:rowOff>
    </xdr:from>
    <xdr:to>
      <xdr:col>21</xdr:col>
      <xdr:colOff>514350</xdr:colOff>
      <xdr:row>41</xdr:row>
      <xdr:rowOff>0</xdr:rowOff>
    </xdr:to>
    <graphicFrame xmlns="http://schemas.openxmlformats.org/drawingml/2006/spreadsheetDrawing" macro="">
      <xdr:nvGraphicFramePr>
        <xdr:cNvPr id="8" name="Poor Deck Area By BP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20.xml><?xml version="1.0" encoding="utf-8"?>
<xdr:wsDr xmlns:xdr="http://schemas.openxmlformats.org/drawingml/2006/spreadsheetDrawing" xmlns:a="http://schemas.openxmlformats.org/drawingml/2006/main">
  <xdr:twoCellAnchor>
    <xdr:from>
      <xdr:col>7</xdr:col>
      <xdr:colOff>0</xdr:colOff>
      <xdr:row>6</xdr:row>
      <xdr:rowOff>0</xdr:rowOff>
    </xdr:from>
    <xdr:to>
      <xdr:col>21</xdr:col>
      <xdr:colOff>514350</xdr:colOff>
      <xdr:row>41</xdr:row>
      <xdr:rowOff>0</xdr:rowOff>
    </xdr:to>
    <graphicFrame xmlns="http://schemas.openxmlformats.org/drawingml/2006/spreadsheetDrawing" macro="">
      <xdr:nvGraphicFramePr>
        <xdr:cNvPr id="9" name="Posted Bridge Count By BP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21.xml><?xml version="1.0" encoding="utf-8"?>
<xdr:wsDr xmlns:xdr="http://schemas.openxmlformats.org/drawingml/2006/spreadsheetDrawing" xmlns:a="http://schemas.openxmlformats.org/drawingml/2006/main">
  <xdr:twoCellAnchor>
    <xdr:from>
      <xdr:col>7</xdr:col>
      <xdr:colOff>0</xdr:colOff>
      <xdr:row>6</xdr:row>
      <xdr:rowOff>0</xdr:rowOff>
    </xdr:from>
    <xdr:to>
      <xdr:col>21</xdr:col>
      <xdr:colOff>514350</xdr:colOff>
      <xdr:row>41</xdr:row>
      <xdr:rowOff>0</xdr:rowOff>
    </xdr:to>
    <graphicFrame xmlns="http://schemas.openxmlformats.org/drawingml/2006/spreadsheetDrawing" macro="">
      <xdr:nvGraphicFramePr>
        <xdr:cNvPr id="10" name="Posted BPN Deck Are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22.xml><?xml version="1.0" encoding="utf-8"?>
<xdr:wsDr xmlns:xdr="http://schemas.openxmlformats.org/drawingml/2006/spreadsheetDrawing" xmlns:a="http://schemas.openxmlformats.org/drawingml/2006/main">
  <xdr:twoCellAnchor>
    <xdr:from>
      <xdr:col>7</xdr:col>
      <xdr:colOff>0</xdr:colOff>
      <xdr:row>6</xdr:row>
      <xdr:rowOff>0</xdr:rowOff>
    </xdr:from>
    <xdr:to>
      <xdr:col>21</xdr:col>
      <xdr:colOff>514350</xdr:colOff>
      <xdr:row>41</xdr:row>
      <xdr:rowOff>0</xdr:rowOff>
    </xdr:to>
    <graphicFrame xmlns="http://schemas.openxmlformats.org/drawingml/2006/spreadsheetDrawing" macro="">
      <xdr:nvGraphicFramePr>
        <xdr:cNvPr id="11" name="Close BPN Bridge Coun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23.xml><?xml version="1.0" encoding="utf-8"?>
<xdr:wsDr xmlns:xdr="http://schemas.openxmlformats.org/drawingml/2006/spreadsheetDrawing" xmlns:a="http://schemas.openxmlformats.org/drawingml/2006/main">
  <xdr:twoCellAnchor>
    <xdr:from>
      <xdr:col>7</xdr:col>
      <xdr:colOff>0</xdr:colOff>
      <xdr:row>6</xdr:row>
      <xdr:rowOff>0</xdr:rowOff>
    </xdr:from>
    <xdr:to>
      <xdr:col>21</xdr:col>
      <xdr:colOff>514350</xdr:colOff>
      <xdr:row>41</xdr:row>
      <xdr:rowOff>0</xdr:rowOff>
    </xdr:to>
    <graphicFrame xmlns="http://schemas.openxmlformats.org/drawingml/2006/spreadsheetDrawing" macro="">
      <xdr:nvGraphicFramePr>
        <xdr:cNvPr id="12" name="Closed BPN Deck Are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24.xml><?xml version="1.0" encoding="utf-8"?>
<xdr:wsDr xmlns:xdr="http://schemas.openxmlformats.org/drawingml/2006/spreadsheetDrawing" xmlns:a="http://schemas.openxmlformats.org/drawingml/2006/main">
  <xdr:twoCellAnchor>
    <xdr:from>
      <xdr:col>7</xdr:col>
      <xdr:colOff>0</xdr:colOff>
      <xdr:row>6</xdr:row>
      <xdr:rowOff>0</xdr:rowOff>
    </xdr:from>
    <xdr:to>
      <xdr:col>21</xdr:col>
      <xdr:colOff>514350</xdr:colOff>
      <xdr:row>41</xdr:row>
      <xdr:rowOff>0</xdr:rowOff>
    </xdr:to>
    <graphicFrame xmlns="http://schemas.openxmlformats.org/drawingml/2006/spreadsheetDrawing" macro="">
      <xdr:nvGraphicFramePr>
        <xdr:cNvPr id="13" name="Combined Posted and Closed Bridg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drawings/drawing25.xml><?xml version="1.0" encoding="utf-8"?>
<xdr:wsDr xmlns:xdr="http://schemas.openxmlformats.org/drawingml/2006/spreadsheetDrawing" xmlns:a="http://schemas.openxmlformats.org/drawingml/2006/main">
  <xdr:twoCellAnchor>
    <xdr:from>
      <xdr:col>7</xdr:col>
      <xdr:colOff>0</xdr:colOff>
      <xdr:row>6</xdr:row>
      <xdr:rowOff>0</xdr:rowOff>
    </xdr:from>
    <xdr:to>
      <xdr:col>21</xdr:col>
      <xdr:colOff>514350</xdr:colOff>
      <xdr:row>41</xdr:row>
      <xdr:rowOff>0</xdr:rowOff>
    </xdr:to>
    <graphicFrame xmlns="http://schemas.openxmlformats.org/drawingml/2006/spreadsheetDrawing" macro="">
      <xdr:nvGraphicFramePr>
        <xdr:cNvPr id="14" name="Investment Needed By BPN / Deck Are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fLocksWithSheet="1"/>
  </xdr:twoCellAnchor>
</xdr:wsDr>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s>
</file>

<file path=xl/worksheets/sheet1.xml><?xml version="1.0" encoding="utf-8"?>
<worksheet xmlns:r="http://schemas.openxmlformats.org/officeDocument/2006/relationships" xmlns="http://schemas.openxmlformats.org/spreadsheetml/2006/main">
  <dimension ref="A1:AN117"/>
  <sheetViews>
    <sheetView workbookViewId="0"/>
  </sheetViews>
  <sheetFormatPr defaultRowHeight="15"/>
  <cols>
    <col min="1" max="1" width="45.251041412353516" customWidth="1"/>
    <col min="2" max="2" width="18.0395565032959" customWidth="1"/>
    <col min="3" max="3" width="15.292625427246094" customWidth="1"/>
    <col min="4" max="4" width="12.583548545837402" customWidth="1"/>
    <col min="5" max="5" width="15.292625427246094" customWidth="1"/>
    <col min="6" max="6" width="15.292625427246094" customWidth="1"/>
    <col min="7" max="7" width="15.292625427246094" customWidth="1"/>
    <col min="8" max="8" width="15.292625427246094" customWidth="1"/>
    <col min="9" max="9" width="15.292625427246094" customWidth="1"/>
    <col min="10" max="10" width="19.274394989013672" customWidth="1"/>
    <col min="11" max="11" width="12.124191284179688" customWidth="1"/>
    <col min="12" max="12" width="15.292625427246094" customWidth="1"/>
    <col min="13" max="13" width="17.479938507080078" customWidth="1"/>
    <col min="14" max="14" width="15.68445873260498" customWidth="1"/>
    <col min="15" max="15" width="10.7266845703125" customWidth="1"/>
    <col min="16" max="16" width="13.660836219787598" customWidth="1"/>
    <col min="17" max="17" width="11.873540878295898" customWidth="1"/>
    <col min="18" max="18" width="15.292625427246094" customWidth="1"/>
    <col min="19" max="19" width="15.292625427246094" customWidth="1"/>
    <col min="20" max="20" width="15.292625427246094" customWidth="1"/>
    <col min="21" max="21" width="12.023931503295898" customWidth="1"/>
    <col min="22" max="22" width="13.389723777770996" customWidth="1"/>
    <col min="23" max="23" width="13.660836219787598" customWidth="1"/>
    <col min="24" max="24" width="13.660836219787598" customWidth="1"/>
    <col min="25" max="25" width="13.660836219787598" customWidth="1"/>
    <col min="26" max="26" width="15.292625427246094" customWidth="1"/>
    <col min="27" max="27" width="11.616751670837402" customWidth="1"/>
    <col min="28" max="28" width="12.9999361038208" customWidth="1"/>
    <col min="29" max="29" width="15.239425659179688" customWidth="1"/>
    <col min="30" max="30" width="14.124284744262695" customWidth="1"/>
    <col min="31" max="31" width="12.404511451721191" customWidth="1"/>
    <col min="32" max="32" width="16.386281967163086" customWidth="1"/>
    <col min="33" max="33" width="15.292625427246094" customWidth="1"/>
    <col min="34" max="34" width="15.292625427246094" customWidth="1"/>
    <col min="35" max="35" width="12.972312927246094" customWidth="1"/>
    <col min="36" max="36" width="15.292625427246094" customWidth="1"/>
    <col min="37" max="37" width="11.170694351196289" customWidth="1"/>
    <col min="38" max="38" width="13.98105525970459" customWidth="1"/>
    <col min="39" max="39" width="13.660836219787598" customWidth="1"/>
    <col min="40" max="40" width="13.01425838470459" customWidth="1"/>
  </cols>
  <sheetData>
    <row r="1">
      <c r="A1" s="51" t="s">
        <v>0</v>
      </c>
      <c r="B1" s="51" t="s">
        <v>0</v>
      </c>
      <c r="C1" s="52" t="s">
        <v>1</v>
      </c>
      <c r="D1" s="52" t="s">
        <v>1</v>
      </c>
      <c r="E1" s="52" t="s">
        <v>1</v>
      </c>
      <c r="F1" s="52" t="s">
        <v>1</v>
      </c>
      <c r="G1" s="52" t="s">
        <v>1</v>
      </c>
      <c r="H1" s="52" t="s">
        <v>1</v>
      </c>
      <c r="I1" s="52" t="s">
        <v>1</v>
      </c>
      <c r="J1" s="52" t="s">
        <v>1</v>
      </c>
      <c r="K1" s="52" t="s">
        <v>1</v>
      </c>
    </row>
    <row r="2">
      <c r="A2" s="51" t="s">
        <v>2</v>
      </c>
      <c r="B2" s="51" t="s">
        <v>2</v>
      </c>
      <c r="C2" s="22"/>
      <c r="D2" s="22"/>
      <c r="E2" s="22"/>
      <c r="F2" s="22"/>
      <c r="G2" s="22"/>
      <c r="H2" s="22"/>
      <c r="I2" s="22"/>
      <c r="J2" s="22"/>
      <c r="K2" s="22"/>
    </row>
    <row r="3">
      <c r="A3" s="3" t="s">
        <v>3</v>
      </c>
      <c r="B3" s="3" t="s">
        <v>4</v>
      </c>
      <c r="J3" s="3" t="s">
        <v>5</v>
      </c>
      <c r="K3" s="3" t="s">
        <v>6</v>
      </c>
    </row>
    <row r="4">
      <c r="A4" s="3" t="s">
        <v>7</v>
      </c>
      <c r="B4" s="3" t="s">
        <v>6</v>
      </c>
    </row>
    <row r="6">
      <c r="A6" s="50" t="s">
        <v>8</v>
      </c>
      <c r="B6" s="50" t="s">
        <v>8</v>
      </c>
    </row>
    <row r="7">
      <c r="A7" s="3" t="s">
        <v>9</v>
      </c>
      <c r="B7" s="3" t="s">
        <v>10</v>
      </c>
    </row>
    <row r="9">
      <c r="A9" s="0" t="s">
        <v>11</v>
      </c>
    </row>
    <row r="10">
      <c r="A10" s="51" t="s">
        <v>12</v>
      </c>
      <c r="B10" s="51" t="s">
        <v>12</v>
      </c>
      <c r="F10" s="51" t="s">
        <v>13</v>
      </c>
      <c r="G10" s="51" t="s">
        <v>13</v>
      </c>
      <c r="H10" s="51" t="s">
        <v>13</v>
      </c>
      <c r="L10" s="51" t="s">
        <v>14</v>
      </c>
      <c r="M10" s="51" t="s">
        <v>14</v>
      </c>
      <c r="N10" s="51" t="s">
        <v>14</v>
      </c>
      <c r="O10" s="51" t="s">
        <v>14</v>
      </c>
    </row>
    <row r="11">
      <c r="A11" s="3" t="s">
        <v>12</v>
      </c>
      <c r="B11" s="7" t="s">
        <v>15</v>
      </c>
      <c r="F11" s="3"/>
      <c r="G11" s="3"/>
      <c r="H11" s="3"/>
      <c r="L11" s="3"/>
      <c r="M11" s="3"/>
      <c r="N11" s="3"/>
      <c r="O11" s="3"/>
    </row>
    <row r="12">
      <c r="A12" s="3" t="s">
        <v>16</v>
      </c>
      <c r="B12" s="7" t="s">
        <v>17</v>
      </c>
      <c r="F12" s="22" t="s">
        <v>18</v>
      </c>
      <c r="G12" s="22" t="s">
        <v>18</v>
      </c>
      <c r="H12" s="3">
        <v>2026</v>
      </c>
      <c r="L12" s="22" t="s">
        <v>19</v>
      </c>
      <c r="M12" s="22" t="s">
        <v>19</v>
      </c>
      <c r="N12" s="54" t="s">
        <v>20</v>
      </c>
      <c r="O12" s="54" t="s">
        <v>20</v>
      </c>
    </row>
    <row r="13">
      <c r="F13" s="3"/>
      <c r="G13" s="3"/>
      <c r="H13" s="3"/>
      <c r="L13" s="3"/>
      <c r="M13" s="3"/>
      <c r="N13" s="3"/>
      <c r="O13" s="3"/>
    </row>
    <row r="14">
      <c r="A14" s="51" t="s">
        <v>21</v>
      </c>
      <c r="B14" s="51" t="s">
        <v>21</v>
      </c>
      <c r="F14" s="22" t="s">
        <v>22</v>
      </c>
      <c r="G14" s="22" t="s">
        <v>22</v>
      </c>
      <c r="H14" s="3">
        <v>11</v>
      </c>
      <c r="L14" s="22" t="s">
        <v>23</v>
      </c>
      <c r="M14" s="22" t="s">
        <v>23</v>
      </c>
      <c r="N14" s="54" t="s">
        <v>24</v>
      </c>
      <c r="O14" s="54" t="s">
        <v>24</v>
      </c>
    </row>
    <row r="15">
      <c r="A15" s="3" t="s">
        <v>25</v>
      </c>
      <c r="B15" s="7" t="s">
        <v>15</v>
      </c>
      <c r="F15" s="3"/>
      <c r="G15" s="3"/>
      <c r="H15" s="3"/>
      <c r="L15" s="3"/>
      <c r="M15" s="3"/>
      <c r="N15" s="3"/>
      <c r="O15" s="3"/>
    </row>
    <row r="16">
      <c r="A16" s="3" t="s">
        <v>26</v>
      </c>
      <c r="B16" s="7" t="s">
        <v>15</v>
      </c>
      <c r="F16" s="22" t="s">
        <v>27</v>
      </c>
      <c r="G16" s="22" t="s">
        <v>27</v>
      </c>
      <c r="H16" s="3">
        <v>3</v>
      </c>
      <c r="L16" s="22" t="s">
        <v>28</v>
      </c>
      <c r="M16" s="22" t="s">
        <v>28</v>
      </c>
      <c r="N16" s="54" t="s">
        <v>29</v>
      </c>
      <c r="O16" s="54" t="s">
        <v>29</v>
      </c>
    </row>
    <row r="17">
      <c r="A17" s="3" t="s">
        <v>30</v>
      </c>
      <c r="B17" s="7" t="s">
        <v>15</v>
      </c>
      <c r="L17" s="3"/>
      <c r="M17" s="3"/>
      <c r="N17" s="3"/>
      <c r="O17" s="3"/>
    </row>
    <row r="18">
      <c r="A18" s="3" t="s">
        <v>31</v>
      </c>
      <c r="B18" s="7" t="s">
        <v>15</v>
      </c>
      <c r="D18" s="51" t="s">
        <v>32</v>
      </c>
      <c r="E18" s="51" t="s">
        <v>32</v>
      </c>
      <c r="F18" s="51" t="s">
        <v>32</v>
      </c>
      <c r="H18" s="51" t="s">
        <v>33</v>
      </c>
      <c r="I18" s="51" t="s">
        <v>33</v>
      </c>
      <c r="J18" s="51" t="s">
        <v>33</v>
      </c>
      <c r="L18" s="22" t="s">
        <v>34</v>
      </c>
      <c r="M18" s="22" t="s">
        <v>34</v>
      </c>
      <c r="N18" s="54" t="s">
        <v>35</v>
      </c>
      <c r="O18" s="54" t="s">
        <v>35</v>
      </c>
    </row>
    <row r="19">
      <c r="A19" s="3" t="s">
        <v>36</v>
      </c>
      <c r="B19" s="7" t="s">
        <v>15</v>
      </c>
      <c r="D19" s="54" t="s">
        <v>37</v>
      </c>
      <c r="E19" s="54" t="s">
        <v>37</v>
      </c>
      <c r="F19" s="7" t="s">
        <v>15</v>
      </c>
      <c r="H19" s="55" t="s">
        <v>38</v>
      </c>
      <c r="I19" s="55" t="s">
        <v>38</v>
      </c>
      <c r="J19" s="55" t="s">
        <v>38</v>
      </c>
    </row>
    <row r="20">
      <c r="A20" s="3" t="s">
        <v>39</v>
      </c>
      <c r="B20" s="7" t="s">
        <v>17</v>
      </c>
      <c r="D20" s="54" t="s">
        <v>40</v>
      </c>
      <c r="E20" s="54" t="s">
        <v>40</v>
      </c>
      <c r="F20" s="7" t="s">
        <v>17</v>
      </c>
      <c r="H20" s="54" t="s">
        <v>41</v>
      </c>
      <c r="I20" s="54" t="s">
        <v>41</v>
      </c>
      <c r="J20" s="7" t="s">
        <v>15</v>
      </c>
      <c r="L20" s="22" t="s">
        <v>42</v>
      </c>
      <c r="M20" s="22" t="s">
        <v>42</v>
      </c>
      <c r="N20" s="54" t="s">
        <v>43</v>
      </c>
      <c r="O20" s="54" t="s">
        <v>43</v>
      </c>
      <c r="P20" s="54" t="s">
        <v>43</v>
      </c>
      <c r="Q20" s="54" t="s">
        <v>43</v>
      </c>
      <c r="R20" s="54" t="s">
        <v>43</v>
      </c>
      <c r="S20" s="54" t="s">
        <v>43</v>
      </c>
      <c r="T20" s="54" t="s">
        <v>43</v>
      </c>
      <c r="U20" s="54" t="s">
        <v>43</v>
      </c>
      <c r="V20" s="54" t="s">
        <v>43</v>
      </c>
      <c r="W20" s="54" t="s">
        <v>43</v>
      </c>
      <c r="X20" s="54" t="s">
        <v>43</v>
      </c>
      <c r="Y20" s="54" t="s">
        <v>43</v>
      </c>
      <c r="Z20" s="54" t="s">
        <v>43</v>
      </c>
    </row>
    <row r="21">
      <c r="A21" s="3" t="s">
        <v>44</v>
      </c>
      <c r="B21" s="7" t="s">
        <v>15</v>
      </c>
      <c r="D21" s="54" t="s">
        <v>45</v>
      </c>
      <c r="E21" s="54" t="s">
        <v>45</v>
      </c>
      <c r="F21" s="7" t="s">
        <v>17</v>
      </c>
      <c r="H21" s="54" t="s">
        <v>46</v>
      </c>
      <c r="I21" s="54" t="s">
        <v>46</v>
      </c>
      <c r="J21" s="7" t="s">
        <v>15</v>
      </c>
      <c r="L21" s="22"/>
      <c r="M21" s="22"/>
      <c r="N21" s="54"/>
      <c r="O21" s="54"/>
      <c r="P21" s="54"/>
      <c r="Q21" s="54"/>
      <c r="R21" s="54"/>
      <c r="S21" s="54"/>
      <c r="T21" s="54"/>
      <c r="U21" s="54"/>
      <c r="V21" s="54"/>
      <c r="W21" s="54"/>
      <c r="X21" s="54"/>
      <c r="Y21" s="54"/>
      <c r="Z21" s="54"/>
    </row>
    <row r="22">
      <c r="A22" s="3" t="s">
        <v>47</v>
      </c>
      <c r="B22" s="7" t="s">
        <v>15</v>
      </c>
      <c r="D22" s="54" t="s">
        <v>48</v>
      </c>
      <c r="E22" s="54" t="s">
        <v>48</v>
      </c>
      <c r="F22" s="7" t="s">
        <v>15</v>
      </c>
      <c r="H22" s="54" t="s">
        <v>49</v>
      </c>
      <c r="I22" s="54" t="s">
        <v>49</v>
      </c>
      <c r="J22" s="7" t="s">
        <v>15</v>
      </c>
    </row>
    <row r="23">
      <c r="A23" s="3" t="s">
        <v>15</v>
      </c>
      <c r="B23" s="7" t="s">
        <v>15</v>
      </c>
      <c r="D23" s="54" t="s">
        <v>50</v>
      </c>
      <c r="E23" s="54" t="s">
        <v>50</v>
      </c>
      <c r="F23" s="7" t="s">
        <v>15</v>
      </c>
      <c r="H23" s="54" t="s">
        <v>51</v>
      </c>
      <c r="I23" s="54" t="s">
        <v>51</v>
      </c>
      <c r="J23" s="7" t="s">
        <v>15</v>
      </c>
      <c r="L23" s="50" t="s">
        <v>52</v>
      </c>
      <c r="M23" s="50" t="s">
        <v>53</v>
      </c>
      <c r="N23" s="50" t="s">
        <v>54</v>
      </c>
      <c r="O23" s="50" t="s">
        <v>54</v>
      </c>
      <c r="P23" s="50" t="s">
        <v>54</v>
      </c>
      <c r="Q23" s="50" t="s">
        <v>54</v>
      </c>
      <c r="R23" s="50" t="s">
        <v>54</v>
      </c>
      <c r="S23" s="50" t="s">
        <v>54</v>
      </c>
      <c r="T23" s="50" t="s">
        <v>54</v>
      </c>
      <c r="U23" s="50" t="s">
        <v>54</v>
      </c>
      <c r="V23" s="50" t="s">
        <v>54</v>
      </c>
      <c r="W23" s="50" t="s">
        <v>54</v>
      </c>
      <c r="X23" s="50" t="s">
        <v>54</v>
      </c>
      <c r="Y23" s="50" t="s">
        <v>54</v>
      </c>
      <c r="Z23" s="50" t="s">
        <v>54</v>
      </c>
    </row>
    <row r="24">
      <c r="A24" s="3" t="s">
        <v>55</v>
      </c>
      <c r="B24" s="7" t="s">
        <v>15</v>
      </c>
      <c r="D24" s="54" t="s">
        <v>56</v>
      </c>
      <c r="E24" s="54" t="s">
        <v>56</v>
      </c>
      <c r="F24" s="7" t="s">
        <v>15</v>
      </c>
      <c r="H24" s="54" t="s">
        <v>57</v>
      </c>
      <c r="I24" s="54" t="s">
        <v>57</v>
      </c>
      <c r="J24" s="7" t="s">
        <v>15</v>
      </c>
      <c r="L24" s="3"/>
      <c r="M24" s="22"/>
      <c r="N24" s="22"/>
      <c r="O24" s="22"/>
      <c r="P24" s="22"/>
      <c r="Q24" s="22"/>
      <c r="R24" s="22"/>
      <c r="S24" s="22"/>
      <c r="T24" s="22"/>
      <c r="U24" s="22"/>
      <c r="V24" s="22"/>
      <c r="W24" s="22"/>
      <c r="X24" s="22"/>
      <c r="Y24" s="22"/>
      <c r="Z24" s="22"/>
    </row>
    <row r="25" ht="33" customHeight="1">
      <c r="D25" s="54" t="s">
        <v>58</v>
      </c>
      <c r="E25" s="54" t="s">
        <v>58</v>
      </c>
      <c r="F25" s="7" t="s">
        <v>15</v>
      </c>
      <c r="H25" s="54" t="s">
        <v>59</v>
      </c>
      <c r="I25" s="54" t="s">
        <v>59</v>
      </c>
      <c r="J25" s="7" t="s">
        <v>15</v>
      </c>
      <c r="L25" s="23">
        <v>1</v>
      </c>
      <c r="M25" s="54" t="s">
        <v>60</v>
      </c>
      <c r="N25" s="54"/>
      <c r="O25" s="54"/>
      <c r="P25" s="54"/>
      <c r="Q25" s="54"/>
      <c r="R25" s="54"/>
      <c r="S25" s="54"/>
      <c r="T25" s="54"/>
      <c r="U25" s="54"/>
      <c r="V25" s="54"/>
      <c r="W25" s="54"/>
      <c r="X25" s="54"/>
      <c r="Y25" s="54"/>
      <c r="Z25" s="54"/>
    </row>
    <row r="26" ht="33" customHeight="1">
      <c r="D26" s="54" t="s">
        <v>61</v>
      </c>
      <c r="E26" s="54" t="s">
        <v>61</v>
      </c>
      <c r="F26" s="7" t="s">
        <v>15</v>
      </c>
      <c r="H26" s="54" t="s">
        <v>62</v>
      </c>
      <c r="I26" s="54" t="s">
        <v>62</v>
      </c>
      <c r="J26" s="7" t="s">
        <v>17</v>
      </c>
      <c r="L26" s="23">
        <v>2</v>
      </c>
      <c r="M26" s="54" t="s">
        <v>63</v>
      </c>
      <c r="N26" s="54"/>
      <c r="O26" s="54"/>
      <c r="P26" s="54"/>
      <c r="Q26" s="54"/>
      <c r="R26" s="54"/>
      <c r="S26" s="54"/>
      <c r="T26" s="54"/>
      <c r="U26" s="54"/>
      <c r="V26" s="54"/>
      <c r="W26" s="54"/>
      <c r="X26" s="54"/>
      <c r="Y26" s="54"/>
      <c r="Z26" s="54"/>
    </row>
    <row r="27" ht="33" customHeight="1">
      <c r="A27" s="51" t="s">
        <v>64</v>
      </c>
      <c r="B27" s="51" t="s">
        <v>64</v>
      </c>
      <c r="D27" s="54" t="s">
        <v>65</v>
      </c>
      <c r="E27" s="54" t="s">
        <v>65</v>
      </c>
      <c r="F27" s="7" t="s">
        <v>15</v>
      </c>
      <c r="H27" s="54" t="s">
        <v>66</v>
      </c>
      <c r="I27" s="54" t="s">
        <v>66</v>
      </c>
      <c r="J27" s="7" t="s">
        <v>15</v>
      </c>
      <c r="L27" s="23">
        <v>3</v>
      </c>
      <c r="M27" s="54" t="s">
        <v>67</v>
      </c>
      <c r="N27" s="54"/>
      <c r="O27" s="54"/>
      <c r="P27" s="54"/>
      <c r="Q27" s="54"/>
      <c r="R27" s="54"/>
      <c r="S27" s="54"/>
      <c r="T27" s="54"/>
      <c r="U27" s="54"/>
      <c r="V27" s="54"/>
      <c r="W27" s="54"/>
      <c r="X27" s="54"/>
      <c r="Y27" s="54"/>
      <c r="Z27" s="54"/>
    </row>
    <row r="28">
      <c r="A28" s="3" t="s">
        <v>68</v>
      </c>
      <c r="B28" s="7" t="s">
        <v>15</v>
      </c>
      <c r="D28" s="54" t="s">
        <v>69</v>
      </c>
      <c r="E28" s="54" t="s">
        <v>69</v>
      </c>
      <c r="F28" s="7" t="s">
        <v>15</v>
      </c>
      <c r="H28" s="55" t="s">
        <v>70</v>
      </c>
      <c r="I28" s="55" t="s">
        <v>70</v>
      </c>
      <c r="J28" s="55" t="s">
        <v>70</v>
      </c>
    </row>
    <row r="29">
      <c r="A29" s="3" t="s">
        <v>71</v>
      </c>
      <c r="B29" s="7" t="s">
        <v>17</v>
      </c>
      <c r="D29" s="54" t="s">
        <v>72</v>
      </c>
      <c r="E29" s="54" t="s">
        <v>72</v>
      </c>
      <c r="F29" s="7" t="s">
        <v>15</v>
      </c>
      <c r="H29" s="54" t="s">
        <v>73</v>
      </c>
      <c r="I29" s="54" t="s">
        <v>73</v>
      </c>
      <c r="J29" s="7" t="s">
        <v>15</v>
      </c>
      <c r="L29" s="51" t="s">
        <v>74</v>
      </c>
      <c r="M29" s="51"/>
      <c r="N29" s="51"/>
      <c r="O29" s="9"/>
      <c r="P29" s="9"/>
      <c r="Q29" s="9"/>
      <c r="R29" s="9"/>
      <c r="S29" s="9"/>
      <c r="T29" s="9"/>
      <c r="U29" s="9"/>
      <c r="V29" s="9"/>
      <c r="W29" s="9"/>
      <c r="X29" s="9"/>
      <c r="Y29" s="9"/>
      <c r="Z29" s="9"/>
    </row>
    <row r="30">
      <c r="A30" s="3"/>
      <c r="B30" s="3"/>
      <c r="D30" s="54" t="s">
        <v>75</v>
      </c>
      <c r="E30" s="54" t="s">
        <v>75</v>
      </c>
      <c r="F30" s="7" t="s">
        <v>15</v>
      </c>
      <c r="H30" s="54" t="s">
        <v>76</v>
      </c>
      <c r="I30" s="54" t="s">
        <v>76</v>
      </c>
      <c r="J30" s="7" t="s">
        <v>15</v>
      </c>
      <c r="L30" s="22" t="s">
        <v>77</v>
      </c>
      <c r="M30" s="22" t="s">
        <v>78</v>
      </c>
      <c r="N30" s="22" t="s">
        <v>79</v>
      </c>
    </row>
    <row r="31">
      <c r="A31" s="51" t="s">
        <v>80</v>
      </c>
      <c r="B31" s="51" t="s">
        <v>80</v>
      </c>
      <c r="D31" s="54" t="s">
        <v>81</v>
      </c>
      <c r="E31" s="54" t="s">
        <v>81</v>
      </c>
      <c r="F31" s="7" t="s">
        <v>15</v>
      </c>
      <c r="H31" s="54" t="s">
        <v>82</v>
      </c>
      <c r="I31" s="54" t="s">
        <v>82</v>
      </c>
      <c r="J31" s="7" t="s">
        <v>15</v>
      </c>
      <c r="L31" s="3">
        <v>1</v>
      </c>
      <c r="M31" s="56">
        <v>5000000</v>
      </c>
      <c r="N31" s="3" t="s">
        <v>83</v>
      </c>
    </row>
    <row r="32">
      <c r="A32" s="3" t="s">
        <v>84</v>
      </c>
      <c r="B32" s="7" t="s">
        <v>17</v>
      </c>
      <c r="D32" s="54" t="s">
        <v>85</v>
      </c>
      <c r="E32" s="54" t="s">
        <v>85</v>
      </c>
      <c r="F32" s="7" t="s">
        <v>15</v>
      </c>
      <c r="H32" s="54" t="s">
        <v>86</v>
      </c>
      <c r="I32" s="54" t="s">
        <v>86</v>
      </c>
      <c r="J32" s="7" t="s">
        <v>15</v>
      </c>
      <c r="L32" s="3">
        <v>2</v>
      </c>
      <c r="M32" s="56">
        <v>30000000</v>
      </c>
      <c r="N32" s="3" t="s">
        <v>87</v>
      </c>
    </row>
    <row r="33">
      <c r="A33" s="3" t="s">
        <v>88</v>
      </c>
      <c r="B33" s="7" t="s">
        <v>15</v>
      </c>
      <c r="D33" s="54" t="s">
        <v>89</v>
      </c>
      <c r="E33" s="54" t="s">
        <v>89</v>
      </c>
      <c r="F33" s="7" t="s">
        <v>15</v>
      </c>
      <c r="H33" s="54" t="s">
        <v>90</v>
      </c>
      <c r="I33" s="54" t="s">
        <v>90</v>
      </c>
      <c r="J33" s="7" t="s">
        <v>15</v>
      </c>
      <c r="L33" s="3">
        <v>3</v>
      </c>
      <c r="M33" s="56">
        <v>50000000</v>
      </c>
      <c r="N33" s="3" t="s">
        <v>91</v>
      </c>
    </row>
    <row r="34">
      <c r="A34" s="3" t="s">
        <v>92</v>
      </c>
      <c r="B34" s="7" t="s">
        <v>15</v>
      </c>
      <c r="D34" s="54" t="s">
        <v>93</v>
      </c>
      <c r="E34" s="54" t="s">
        <v>93</v>
      </c>
      <c r="F34" s="7" t="s">
        <v>15</v>
      </c>
      <c r="H34" s="54" t="s">
        <v>94</v>
      </c>
      <c r="I34" s="54" t="s">
        <v>94</v>
      </c>
      <c r="J34" s="7" t="s">
        <v>15</v>
      </c>
      <c r="L34" s="3">
        <v>4</v>
      </c>
      <c r="M34" s="56">
        <v>100000000</v>
      </c>
      <c r="N34" s="3" t="s">
        <v>95</v>
      </c>
    </row>
    <row r="35">
      <c r="A35" s="3" t="s">
        <v>96</v>
      </c>
      <c r="B35" s="7" t="s">
        <v>17</v>
      </c>
      <c r="D35" s="54" t="s">
        <v>97</v>
      </c>
      <c r="E35" s="54" t="s">
        <v>97</v>
      </c>
      <c r="F35" s="7" t="s">
        <v>15</v>
      </c>
      <c r="H35" s="54" t="s">
        <v>66</v>
      </c>
      <c r="I35" s="54" t="s">
        <v>66</v>
      </c>
      <c r="J35" s="7" t="s">
        <v>15</v>
      </c>
      <c r="L35" s="3">
        <v>5</v>
      </c>
      <c r="M35" s="56">
        <v>100000001</v>
      </c>
      <c r="N35" s="3" t="s">
        <v>98</v>
      </c>
    </row>
    <row r="36">
      <c r="D36" s="54" t="s">
        <v>99</v>
      </c>
      <c r="E36" s="54" t="s">
        <v>99</v>
      </c>
      <c r="F36" s="7" t="s">
        <v>15</v>
      </c>
      <c r="H36" s="54" t="s">
        <v>100</v>
      </c>
      <c r="I36" s="54" t="s">
        <v>100</v>
      </c>
      <c r="J36" s="7" t="s">
        <v>15</v>
      </c>
    </row>
    <row r="37">
      <c r="A37" s="51" t="s">
        <v>101</v>
      </c>
      <c r="B37" s="51" t="s">
        <v>101</v>
      </c>
      <c r="D37" s="54" t="s">
        <v>102</v>
      </c>
      <c r="E37" s="54" t="s">
        <v>102</v>
      </c>
      <c r="F37" s="7" t="s">
        <v>15</v>
      </c>
    </row>
    <row r="38">
      <c r="A38" s="53" t="s">
        <v>103</v>
      </c>
      <c r="B38" s="53" t="s">
        <v>104</v>
      </c>
      <c r="D38" s="54" t="s">
        <v>105</v>
      </c>
      <c r="E38" s="54" t="s">
        <v>105</v>
      </c>
      <c r="F38" s="7" t="s">
        <v>15</v>
      </c>
    </row>
    <row r="39">
      <c r="A39" s="3" t="s">
        <v>106</v>
      </c>
      <c r="B39" s="3"/>
      <c r="D39" s="54" t="s">
        <v>107</v>
      </c>
      <c r="E39" s="54" t="s">
        <v>107</v>
      </c>
      <c r="F39" s="7" t="s">
        <v>15</v>
      </c>
    </row>
    <row r="40">
      <c r="A40" s="3" t="s">
        <v>108</v>
      </c>
      <c r="B40" s="3"/>
    </row>
    <row r="41">
      <c r="A41" s="3" t="s">
        <v>109</v>
      </c>
      <c r="B41" s="3"/>
    </row>
    <row r="42">
      <c r="A42" s="3" t="s">
        <v>110</v>
      </c>
      <c r="B42" s="3"/>
    </row>
    <row r="43">
      <c r="A43" s="3" t="s">
        <v>111</v>
      </c>
      <c r="B43" s="3"/>
    </row>
    <row r="44">
      <c r="A44" s="3" t="s">
        <v>112</v>
      </c>
      <c r="B44" s="3"/>
    </row>
    <row r="45">
      <c r="A45" s="3" t="s">
        <v>113</v>
      </c>
      <c r="B45" s="3"/>
    </row>
    <row r="46">
      <c r="A46" s="3" t="s">
        <v>114</v>
      </c>
      <c r="B46" s="3"/>
    </row>
    <row r="47">
      <c r="A47" s="3" t="s">
        <v>115</v>
      </c>
      <c r="B47" s="3"/>
    </row>
    <row r="48">
      <c r="A48" s="3" t="s">
        <v>116</v>
      </c>
      <c r="B48" s="3"/>
    </row>
    <row r="49">
      <c r="A49" s="3" t="s">
        <v>117</v>
      </c>
      <c r="B49" s="3"/>
    </row>
    <row r="50">
      <c r="A50" s="3" t="s">
        <v>118</v>
      </c>
      <c r="B50" s="3"/>
    </row>
    <row r="51">
      <c r="A51" s="3" t="s">
        <v>119</v>
      </c>
      <c r="B51" s="3"/>
    </row>
    <row r="52">
      <c r="A52" s="3" t="s">
        <v>120</v>
      </c>
      <c r="B52" s="3"/>
    </row>
    <row r="53">
      <c r="A53" s="3" t="s">
        <v>121</v>
      </c>
      <c r="B53" s="3"/>
    </row>
    <row r="54">
      <c r="A54" s="3" t="s">
        <v>122</v>
      </c>
      <c r="B54" s="3"/>
    </row>
    <row r="55">
      <c r="A55" s="3" t="s">
        <v>123</v>
      </c>
      <c r="B55" s="3"/>
    </row>
    <row r="56">
      <c r="A56" s="3" t="s">
        <v>124</v>
      </c>
      <c r="B56" s="3"/>
    </row>
    <row r="57">
      <c r="A57" s="3" t="s">
        <v>125</v>
      </c>
      <c r="B57" s="3"/>
    </row>
    <row r="58">
      <c r="A58" s="3" t="s">
        <v>126</v>
      </c>
      <c r="B58" s="3"/>
    </row>
    <row r="59">
      <c r="A59" s="3" t="s">
        <v>127</v>
      </c>
      <c r="B59" s="3"/>
    </row>
    <row r="60">
      <c r="A60" s="3" t="s">
        <v>128</v>
      </c>
      <c r="B60" s="3"/>
    </row>
    <row r="62">
      <c r="A62" s="55" t="s">
        <v>129</v>
      </c>
      <c r="B62" s="55" t="s">
        <v>130</v>
      </c>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row>
    <row r="63">
      <c r="A63" s="22"/>
      <c r="B63" s="3" t="s">
        <v>131</v>
      </c>
      <c r="C63" s="3" t="s">
        <v>132</v>
      </c>
      <c r="D63" s="3" t="s">
        <v>133</v>
      </c>
      <c r="E63" s="3" t="s">
        <v>134</v>
      </c>
      <c r="F63" s="3" t="s">
        <v>135</v>
      </c>
      <c r="G63" s="3" t="s">
        <v>136</v>
      </c>
      <c r="H63" s="3" t="s">
        <v>137</v>
      </c>
      <c r="I63" s="3" t="s">
        <v>138</v>
      </c>
      <c r="J63" s="3" t="s">
        <v>139</v>
      </c>
      <c r="K63" s="3" t="s">
        <v>140</v>
      </c>
      <c r="L63" s="3" t="s">
        <v>141</v>
      </c>
      <c r="M63" s="3" t="s">
        <v>142</v>
      </c>
      <c r="N63" s="3" t="s">
        <v>143</v>
      </c>
      <c r="O63" s="3" t="s">
        <v>144</v>
      </c>
      <c r="P63" s="3" t="s">
        <v>145</v>
      </c>
      <c r="Q63" s="3" t="s">
        <v>146</v>
      </c>
      <c r="R63" s="3" t="s">
        <v>147</v>
      </c>
      <c r="S63" s="3" t="s">
        <v>148</v>
      </c>
      <c r="T63" s="3" t="s">
        <v>149</v>
      </c>
      <c r="U63" s="3" t="s">
        <v>150</v>
      </c>
      <c r="V63" s="3" t="s">
        <v>151</v>
      </c>
      <c r="W63" s="3" t="s">
        <v>152</v>
      </c>
      <c r="X63" s="3" t="s">
        <v>153</v>
      </c>
      <c r="Y63" s="3" t="s">
        <v>154</v>
      </c>
      <c r="Z63" s="3" t="s">
        <v>155</v>
      </c>
      <c r="AA63" s="3" t="s">
        <v>156</v>
      </c>
      <c r="AB63" s="3" t="s">
        <v>157</v>
      </c>
      <c r="AC63" s="3" t="s">
        <v>158</v>
      </c>
      <c r="AD63" s="3" t="s">
        <v>159</v>
      </c>
      <c r="AE63" s="3" t="s">
        <v>160</v>
      </c>
      <c r="AF63" s="3" t="s">
        <v>161</v>
      </c>
      <c r="AG63" s="3" t="s">
        <v>162</v>
      </c>
      <c r="AH63" s="3" t="s">
        <v>163</v>
      </c>
      <c r="AI63" s="3" t="s">
        <v>164</v>
      </c>
      <c r="AJ63" s="3" t="s">
        <v>165</v>
      </c>
      <c r="AK63" s="3" t="s">
        <v>166</v>
      </c>
      <c r="AL63" s="3" t="s">
        <v>167</v>
      </c>
      <c r="AM63" s="3" t="s">
        <v>168</v>
      </c>
      <c r="AN63" s="3" t="s">
        <v>169</v>
      </c>
    </row>
    <row r="64">
      <c r="A64" s="3">
        <v>2026</v>
      </c>
      <c r="B64" s="56">
        <v>703500</v>
      </c>
      <c r="C64" s="56">
        <v>6879600</v>
      </c>
      <c r="D64" s="56">
        <v>1</v>
      </c>
      <c r="E64" s="56">
        <v>1660400</v>
      </c>
      <c r="F64" s="56">
        <v>1295700</v>
      </c>
      <c r="G64" s="56">
        <v>1048600</v>
      </c>
      <c r="H64" s="56">
        <v>6027700</v>
      </c>
      <c r="I64" s="56">
        <v>3852100</v>
      </c>
      <c r="J64" s="56">
        <v>993300</v>
      </c>
      <c r="K64" s="56">
        <v>1</v>
      </c>
      <c r="L64" s="56">
        <v>3686200</v>
      </c>
      <c r="M64" s="56">
        <v>548800</v>
      </c>
      <c r="N64" s="56">
        <v>581700</v>
      </c>
      <c r="O64" s="56">
        <v>1</v>
      </c>
      <c r="P64" s="56">
        <v>886900</v>
      </c>
      <c r="Q64" s="56">
        <v>1</v>
      </c>
      <c r="R64" s="56">
        <v>6341300</v>
      </c>
      <c r="S64" s="56">
        <v>2330300</v>
      </c>
      <c r="T64" s="56">
        <v>1694000</v>
      </c>
      <c r="U64" s="56">
        <v>1</v>
      </c>
      <c r="V64" s="56">
        <v>1</v>
      </c>
      <c r="W64" s="56">
        <v>753200</v>
      </c>
      <c r="X64" s="56">
        <v>544600</v>
      </c>
      <c r="Y64" s="56">
        <v>242200</v>
      </c>
      <c r="Z64" s="56">
        <v>5350100</v>
      </c>
      <c r="AA64" s="56">
        <v>1</v>
      </c>
      <c r="AB64" s="56">
        <v>1</v>
      </c>
      <c r="AC64" s="56">
        <v>1</v>
      </c>
      <c r="AD64" s="56">
        <v>1</v>
      </c>
      <c r="AE64" s="56">
        <v>1</v>
      </c>
      <c r="AF64" s="56">
        <v>8318100</v>
      </c>
      <c r="AG64" s="56">
        <v>2097900</v>
      </c>
      <c r="AH64" s="56">
        <v>1923600</v>
      </c>
      <c r="AI64" s="56">
        <v>1</v>
      </c>
      <c r="AJ64" s="56">
        <v>9836400</v>
      </c>
      <c r="AK64" s="56">
        <v>1</v>
      </c>
      <c r="AL64" s="56">
        <v>1</v>
      </c>
      <c r="AM64" s="56">
        <v>894600</v>
      </c>
      <c r="AN64" s="56">
        <v>1</v>
      </c>
    </row>
    <row r="65">
      <c r="A65" s="3">
        <v>2027</v>
      </c>
      <c r="B65" s="56">
        <v>703500</v>
      </c>
      <c r="C65" s="56">
        <v>6767600</v>
      </c>
      <c r="D65" s="56">
        <v>1</v>
      </c>
      <c r="E65" s="56">
        <v>1626800</v>
      </c>
      <c r="F65" s="56">
        <v>1295000</v>
      </c>
      <c r="G65" s="56">
        <v>1180900</v>
      </c>
      <c r="H65" s="56">
        <v>6027700</v>
      </c>
      <c r="I65" s="56">
        <v>3852100</v>
      </c>
      <c r="J65" s="56">
        <v>879200</v>
      </c>
      <c r="K65" s="56">
        <v>1</v>
      </c>
      <c r="L65" s="56">
        <v>4186700</v>
      </c>
      <c r="M65" s="56">
        <v>548800</v>
      </c>
      <c r="N65" s="56">
        <v>572600</v>
      </c>
      <c r="O65" s="56">
        <v>1</v>
      </c>
      <c r="P65" s="56">
        <v>886900</v>
      </c>
      <c r="Q65" s="56">
        <v>1</v>
      </c>
      <c r="R65" s="56">
        <v>6341300</v>
      </c>
      <c r="S65" s="56">
        <v>2329600</v>
      </c>
      <c r="T65" s="56">
        <v>1694000</v>
      </c>
      <c r="U65" s="56">
        <v>1</v>
      </c>
      <c r="V65" s="56">
        <v>1</v>
      </c>
      <c r="W65" s="56">
        <v>739900</v>
      </c>
      <c r="X65" s="56">
        <v>544600</v>
      </c>
      <c r="Y65" s="56">
        <v>214900</v>
      </c>
      <c r="Z65" s="56">
        <v>5348000</v>
      </c>
      <c r="AA65" s="56">
        <v>1</v>
      </c>
      <c r="AB65" s="56">
        <v>1</v>
      </c>
      <c r="AC65" s="56">
        <v>1</v>
      </c>
      <c r="AD65" s="56">
        <v>1</v>
      </c>
      <c r="AE65" s="56">
        <v>1</v>
      </c>
      <c r="AF65" s="56">
        <v>9368100</v>
      </c>
      <c r="AG65" s="56">
        <v>2367400</v>
      </c>
      <c r="AH65" s="56">
        <v>1923600</v>
      </c>
      <c r="AI65" s="56">
        <v>1</v>
      </c>
      <c r="AJ65" s="56">
        <v>8708700</v>
      </c>
      <c r="AK65" s="56">
        <v>1</v>
      </c>
      <c r="AL65" s="56">
        <v>1</v>
      </c>
      <c r="AM65" s="56">
        <v>894600</v>
      </c>
      <c r="AN65" s="56">
        <v>1</v>
      </c>
    </row>
    <row r="66">
      <c r="A66" s="3">
        <v>2028</v>
      </c>
      <c r="B66" s="56">
        <v>703500</v>
      </c>
      <c r="C66" s="56">
        <v>6766900</v>
      </c>
      <c r="D66" s="56">
        <v>1</v>
      </c>
      <c r="E66" s="56">
        <v>1625400</v>
      </c>
      <c r="F66" s="56">
        <v>1295000</v>
      </c>
      <c r="G66" s="56">
        <v>1292200</v>
      </c>
      <c r="H66" s="56">
        <v>6027700</v>
      </c>
      <c r="I66" s="56">
        <v>3852100</v>
      </c>
      <c r="J66" s="56">
        <v>794500</v>
      </c>
      <c r="K66" s="56">
        <v>1</v>
      </c>
      <c r="L66" s="56">
        <v>4607400</v>
      </c>
      <c r="M66" s="56">
        <v>548800</v>
      </c>
      <c r="N66" s="56">
        <v>572600</v>
      </c>
      <c r="O66" s="56">
        <v>1</v>
      </c>
      <c r="P66" s="56">
        <v>886900</v>
      </c>
      <c r="Q66" s="56">
        <v>1</v>
      </c>
      <c r="R66" s="56">
        <v>6341300</v>
      </c>
      <c r="S66" s="56">
        <v>2328900</v>
      </c>
      <c r="T66" s="56">
        <v>1694000</v>
      </c>
      <c r="U66" s="56">
        <v>1</v>
      </c>
      <c r="V66" s="56">
        <v>1</v>
      </c>
      <c r="W66" s="56">
        <v>739900</v>
      </c>
      <c r="X66" s="56">
        <v>544600</v>
      </c>
      <c r="Y66" s="56">
        <v>193900</v>
      </c>
      <c r="Z66" s="56">
        <v>5346600</v>
      </c>
      <c r="AA66" s="56">
        <v>1</v>
      </c>
      <c r="AB66" s="56">
        <v>1</v>
      </c>
      <c r="AC66" s="56">
        <v>1</v>
      </c>
      <c r="AD66" s="56">
        <v>1</v>
      </c>
      <c r="AE66" s="56">
        <v>1</v>
      </c>
      <c r="AF66" s="56">
        <v>10250800</v>
      </c>
      <c r="AG66" s="56">
        <v>2594200</v>
      </c>
      <c r="AH66" s="56">
        <v>1923600</v>
      </c>
      <c r="AI66" s="56">
        <v>1</v>
      </c>
      <c r="AJ66" s="56">
        <v>7868700</v>
      </c>
      <c r="AK66" s="56">
        <v>1</v>
      </c>
      <c r="AL66" s="56">
        <v>1</v>
      </c>
      <c r="AM66" s="56">
        <v>893900</v>
      </c>
      <c r="AN66" s="56">
        <v>1</v>
      </c>
    </row>
    <row r="67">
      <c r="A67" s="3">
        <v>2029</v>
      </c>
      <c r="B67" s="56">
        <v>703500</v>
      </c>
      <c r="C67" s="56">
        <v>6766900</v>
      </c>
      <c r="D67" s="56">
        <v>1</v>
      </c>
      <c r="E67" s="56">
        <v>1624700</v>
      </c>
      <c r="F67" s="56">
        <v>1295000</v>
      </c>
      <c r="G67" s="56">
        <v>1292200</v>
      </c>
      <c r="H67" s="56">
        <v>6027700</v>
      </c>
      <c r="I67" s="56">
        <v>3852100</v>
      </c>
      <c r="J67" s="56">
        <v>794500</v>
      </c>
      <c r="K67" s="56">
        <v>1</v>
      </c>
      <c r="L67" s="56">
        <v>4606700</v>
      </c>
      <c r="M67" s="56">
        <v>548800</v>
      </c>
      <c r="N67" s="56">
        <v>572600</v>
      </c>
      <c r="O67" s="56">
        <v>1</v>
      </c>
      <c r="P67" s="56">
        <v>886900</v>
      </c>
      <c r="Q67" s="56">
        <v>1</v>
      </c>
      <c r="R67" s="56">
        <v>6341300</v>
      </c>
      <c r="S67" s="56">
        <v>2328900</v>
      </c>
      <c r="T67" s="56">
        <v>1694000</v>
      </c>
      <c r="U67" s="56">
        <v>1</v>
      </c>
      <c r="V67" s="56">
        <v>1</v>
      </c>
      <c r="W67" s="56">
        <v>739200</v>
      </c>
      <c r="X67" s="56">
        <v>544600</v>
      </c>
      <c r="Y67" s="56">
        <v>193900</v>
      </c>
      <c r="Z67" s="56">
        <v>5346600</v>
      </c>
      <c r="AA67" s="56">
        <v>1</v>
      </c>
      <c r="AB67" s="56">
        <v>1</v>
      </c>
      <c r="AC67" s="56">
        <v>1</v>
      </c>
      <c r="AD67" s="56">
        <v>1</v>
      </c>
      <c r="AE67" s="56">
        <v>1</v>
      </c>
      <c r="AF67" s="56">
        <v>10250800</v>
      </c>
      <c r="AG67" s="56">
        <v>2594200</v>
      </c>
      <c r="AH67" s="56">
        <v>1923600</v>
      </c>
      <c r="AI67" s="56">
        <v>1</v>
      </c>
      <c r="AJ67" s="56">
        <v>7868700</v>
      </c>
      <c r="AK67" s="56">
        <v>1</v>
      </c>
      <c r="AL67" s="56">
        <v>1</v>
      </c>
      <c r="AM67" s="56">
        <v>893900</v>
      </c>
      <c r="AN67" s="56">
        <v>1</v>
      </c>
    </row>
    <row r="68">
      <c r="A68" s="3">
        <v>2030</v>
      </c>
      <c r="B68" s="56">
        <v>703500</v>
      </c>
      <c r="C68" s="56">
        <v>6766200</v>
      </c>
      <c r="D68" s="56">
        <v>1</v>
      </c>
      <c r="E68" s="56">
        <v>1623300</v>
      </c>
      <c r="F68" s="56">
        <v>1295000</v>
      </c>
      <c r="G68" s="56">
        <v>1292200</v>
      </c>
      <c r="H68" s="56">
        <v>6027700</v>
      </c>
      <c r="I68" s="56">
        <v>3852100</v>
      </c>
      <c r="J68" s="56">
        <v>794500</v>
      </c>
      <c r="K68" s="56">
        <v>1</v>
      </c>
      <c r="L68" s="56">
        <v>4605300</v>
      </c>
      <c r="M68" s="56">
        <v>548800</v>
      </c>
      <c r="N68" s="56">
        <v>571900</v>
      </c>
      <c r="O68" s="56">
        <v>1</v>
      </c>
      <c r="P68" s="56">
        <v>886900</v>
      </c>
      <c r="Q68" s="56">
        <v>1</v>
      </c>
      <c r="R68" s="56">
        <v>6341300</v>
      </c>
      <c r="S68" s="56">
        <v>2328900</v>
      </c>
      <c r="T68" s="56">
        <v>1694000</v>
      </c>
      <c r="U68" s="56">
        <v>1</v>
      </c>
      <c r="V68" s="56">
        <v>1</v>
      </c>
      <c r="W68" s="56">
        <v>739200</v>
      </c>
      <c r="X68" s="56">
        <v>544600</v>
      </c>
      <c r="Y68" s="56">
        <v>193900</v>
      </c>
      <c r="Z68" s="56">
        <v>5346600</v>
      </c>
      <c r="AA68" s="56">
        <v>1</v>
      </c>
      <c r="AB68" s="56">
        <v>1</v>
      </c>
      <c r="AC68" s="56">
        <v>1</v>
      </c>
      <c r="AD68" s="56">
        <v>1</v>
      </c>
      <c r="AE68" s="56">
        <v>1</v>
      </c>
      <c r="AF68" s="56">
        <v>10250100</v>
      </c>
      <c r="AG68" s="56">
        <v>2593500</v>
      </c>
      <c r="AH68" s="56">
        <v>1923600</v>
      </c>
      <c r="AI68" s="56">
        <v>1</v>
      </c>
      <c r="AJ68" s="56">
        <v>7868700</v>
      </c>
      <c r="AK68" s="56">
        <v>1</v>
      </c>
      <c r="AL68" s="56">
        <v>1</v>
      </c>
      <c r="AM68" s="56">
        <v>893900</v>
      </c>
      <c r="AN68" s="56">
        <v>1</v>
      </c>
    </row>
    <row r="69">
      <c r="A69" s="3">
        <v>2031</v>
      </c>
      <c r="B69" s="56">
        <v>703500</v>
      </c>
      <c r="C69" s="56">
        <v>6765500</v>
      </c>
      <c r="D69" s="56">
        <v>1</v>
      </c>
      <c r="E69" s="56">
        <v>1621900</v>
      </c>
      <c r="F69" s="56">
        <v>1295000</v>
      </c>
      <c r="G69" s="56">
        <v>1292200</v>
      </c>
      <c r="H69" s="56">
        <v>6027700</v>
      </c>
      <c r="I69" s="56">
        <v>3852100</v>
      </c>
      <c r="J69" s="56">
        <v>794500</v>
      </c>
      <c r="K69" s="56">
        <v>1</v>
      </c>
      <c r="L69" s="56">
        <v>4603900</v>
      </c>
      <c r="M69" s="56">
        <v>548800</v>
      </c>
      <c r="N69" s="56">
        <v>571900</v>
      </c>
      <c r="O69" s="56">
        <v>1</v>
      </c>
      <c r="P69" s="56">
        <v>886900</v>
      </c>
      <c r="Q69" s="56">
        <v>1</v>
      </c>
      <c r="R69" s="56">
        <v>6341300</v>
      </c>
      <c r="S69" s="56">
        <v>2328900</v>
      </c>
      <c r="T69" s="56">
        <v>1694000</v>
      </c>
      <c r="U69" s="56">
        <v>1</v>
      </c>
      <c r="V69" s="56">
        <v>1</v>
      </c>
      <c r="W69" s="56">
        <v>739200</v>
      </c>
      <c r="X69" s="56">
        <v>544600</v>
      </c>
      <c r="Y69" s="56">
        <v>193900</v>
      </c>
      <c r="Z69" s="56">
        <v>5346600</v>
      </c>
      <c r="AA69" s="56">
        <v>1</v>
      </c>
      <c r="AB69" s="56">
        <v>1</v>
      </c>
      <c r="AC69" s="56">
        <v>1</v>
      </c>
      <c r="AD69" s="56">
        <v>1</v>
      </c>
      <c r="AE69" s="56">
        <v>1</v>
      </c>
      <c r="AF69" s="56">
        <v>10249400</v>
      </c>
      <c r="AG69" s="56">
        <v>2593500</v>
      </c>
      <c r="AH69" s="56">
        <v>1923600</v>
      </c>
      <c r="AI69" s="56">
        <v>1</v>
      </c>
      <c r="AJ69" s="56">
        <v>7868700</v>
      </c>
      <c r="AK69" s="56">
        <v>1</v>
      </c>
      <c r="AL69" s="56">
        <v>1</v>
      </c>
      <c r="AM69" s="56">
        <v>893900</v>
      </c>
      <c r="AN69" s="56">
        <v>1</v>
      </c>
    </row>
    <row r="70">
      <c r="A70" s="3">
        <v>2032</v>
      </c>
      <c r="B70" s="56">
        <v>703500</v>
      </c>
      <c r="C70" s="56">
        <v>6764800</v>
      </c>
      <c r="D70" s="56">
        <v>1</v>
      </c>
      <c r="E70" s="56">
        <v>1620500</v>
      </c>
      <c r="F70" s="56">
        <v>1295000</v>
      </c>
      <c r="G70" s="56">
        <v>1292200</v>
      </c>
      <c r="H70" s="56">
        <v>6027700</v>
      </c>
      <c r="I70" s="56">
        <v>3852100</v>
      </c>
      <c r="J70" s="56">
        <v>794500</v>
      </c>
      <c r="K70" s="56">
        <v>1</v>
      </c>
      <c r="L70" s="56">
        <v>4602500</v>
      </c>
      <c r="M70" s="56">
        <v>548800</v>
      </c>
      <c r="N70" s="56">
        <v>571900</v>
      </c>
      <c r="O70" s="56">
        <v>1</v>
      </c>
      <c r="P70" s="56">
        <v>886900</v>
      </c>
      <c r="Q70" s="56">
        <v>1</v>
      </c>
      <c r="R70" s="56">
        <v>6341300</v>
      </c>
      <c r="S70" s="56">
        <v>2328900</v>
      </c>
      <c r="T70" s="56">
        <v>1694000</v>
      </c>
      <c r="U70" s="56">
        <v>1</v>
      </c>
      <c r="V70" s="56">
        <v>1</v>
      </c>
      <c r="W70" s="56">
        <v>738500</v>
      </c>
      <c r="X70" s="56">
        <v>544600</v>
      </c>
      <c r="Y70" s="56">
        <v>193900</v>
      </c>
      <c r="Z70" s="56">
        <v>5346600</v>
      </c>
      <c r="AA70" s="56">
        <v>1</v>
      </c>
      <c r="AB70" s="56">
        <v>1</v>
      </c>
      <c r="AC70" s="56">
        <v>1</v>
      </c>
      <c r="AD70" s="56">
        <v>1</v>
      </c>
      <c r="AE70" s="56">
        <v>1</v>
      </c>
      <c r="AF70" s="56">
        <v>10248700</v>
      </c>
      <c r="AG70" s="56">
        <v>2592800</v>
      </c>
      <c r="AH70" s="56">
        <v>1923600</v>
      </c>
      <c r="AI70" s="56">
        <v>1</v>
      </c>
      <c r="AJ70" s="56">
        <v>7868700</v>
      </c>
      <c r="AK70" s="56">
        <v>1</v>
      </c>
      <c r="AL70" s="56">
        <v>1</v>
      </c>
      <c r="AM70" s="56">
        <v>893900</v>
      </c>
      <c r="AN70" s="56">
        <v>1</v>
      </c>
    </row>
    <row r="71">
      <c r="A71" s="3">
        <v>2033</v>
      </c>
      <c r="B71" s="56">
        <v>703500</v>
      </c>
      <c r="C71" s="56">
        <v>6764100</v>
      </c>
      <c r="D71" s="56">
        <v>1</v>
      </c>
      <c r="E71" s="56">
        <v>1619800</v>
      </c>
      <c r="F71" s="56">
        <v>1295000</v>
      </c>
      <c r="G71" s="56">
        <v>1292200</v>
      </c>
      <c r="H71" s="56">
        <v>6027700</v>
      </c>
      <c r="I71" s="56">
        <v>3852100</v>
      </c>
      <c r="J71" s="56">
        <v>794500</v>
      </c>
      <c r="K71" s="56">
        <v>1</v>
      </c>
      <c r="L71" s="56">
        <v>4601800</v>
      </c>
      <c r="M71" s="56">
        <v>548800</v>
      </c>
      <c r="N71" s="56">
        <v>571900</v>
      </c>
      <c r="O71" s="56">
        <v>1</v>
      </c>
      <c r="P71" s="56">
        <v>886900</v>
      </c>
      <c r="Q71" s="56">
        <v>1</v>
      </c>
      <c r="R71" s="56">
        <v>6341300</v>
      </c>
      <c r="S71" s="56">
        <v>2328900</v>
      </c>
      <c r="T71" s="56">
        <v>1694000</v>
      </c>
      <c r="U71" s="56">
        <v>1</v>
      </c>
      <c r="V71" s="56">
        <v>1</v>
      </c>
      <c r="W71" s="56">
        <v>738500</v>
      </c>
      <c r="X71" s="56">
        <v>544600</v>
      </c>
      <c r="Y71" s="56">
        <v>193900</v>
      </c>
      <c r="Z71" s="56">
        <v>5346600</v>
      </c>
      <c r="AA71" s="56">
        <v>1</v>
      </c>
      <c r="AB71" s="56">
        <v>1</v>
      </c>
      <c r="AC71" s="56">
        <v>1</v>
      </c>
      <c r="AD71" s="56">
        <v>1</v>
      </c>
      <c r="AE71" s="56">
        <v>1</v>
      </c>
      <c r="AF71" s="56">
        <v>10248000</v>
      </c>
      <c r="AG71" s="56">
        <v>2592800</v>
      </c>
      <c r="AH71" s="56">
        <v>1923600</v>
      </c>
      <c r="AI71" s="56">
        <v>1</v>
      </c>
      <c r="AJ71" s="56">
        <v>7868700</v>
      </c>
      <c r="AK71" s="56">
        <v>1</v>
      </c>
      <c r="AL71" s="56">
        <v>1</v>
      </c>
      <c r="AM71" s="56">
        <v>893900</v>
      </c>
      <c r="AN71" s="56">
        <v>1</v>
      </c>
    </row>
    <row r="72">
      <c r="A72" s="3">
        <v>2034</v>
      </c>
      <c r="B72" s="56">
        <v>703500</v>
      </c>
      <c r="C72" s="56">
        <v>6763400</v>
      </c>
      <c r="D72" s="56">
        <v>1</v>
      </c>
      <c r="E72" s="56">
        <v>1617700</v>
      </c>
      <c r="F72" s="56">
        <v>1295000</v>
      </c>
      <c r="G72" s="56">
        <v>1292200</v>
      </c>
      <c r="H72" s="56">
        <v>6027700</v>
      </c>
      <c r="I72" s="56">
        <v>3852100</v>
      </c>
      <c r="J72" s="56">
        <v>794500</v>
      </c>
      <c r="K72" s="56">
        <v>1</v>
      </c>
      <c r="L72" s="56">
        <v>4599700</v>
      </c>
      <c r="M72" s="56">
        <v>548800</v>
      </c>
      <c r="N72" s="56">
        <v>571900</v>
      </c>
      <c r="O72" s="56">
        <v>1</v>
      </c>
      <c r="P72" s="56">
        <v>886900</v>
      </c>
      <c r="Q72" s="56">
        <v>1</v>
      </c>
      <c r="R72" s="56">
        <v>6341300</v>
      </c>
      <c r="S72" s="56">
        <v>2328900</v>
      </c>
      <c r="T72" s="56">
        <v>1694000</v>
      </c>
      <c r="U72" s="56">
        <v>1</v>
      </c>
      <c r="V72" s="56">
        <v>1</v>
      </c>
      <c r="W72" s="56">
        <v>737800</v>
      </c>
      <c r="X72" s="56">
        <v>544600</v>
      </c>
      <c r="Y72" s="56">
        <v>193900</v>
      </c>
      <c r="Z72" s="56">
        <v>5346600</v>
      </c>
      <c r="AA72" s="56">
        <v>1</v>
      </c>
      <c r="AB72" s="56">
        <v>1</v>
      </c>
      <c r="AC72" s="56">
        <v>1</v>
      </c>
      <c r="AD72" s="56">
        <v>1</v>
      </c>
      <c r="AE72" s="56">
        <v>1</v>
      </c>
      <c r="AF72" s="56">
        <v>10247300</v>
      </c>
      <c r="AG72" s="56">
        <v>2592100</v>
      </c>
      <c r="AH72" s="56">
        <v>1923600</v>
      </c>
      <c r="AI72" s="56">
        <v>1</v>
      </c>
      <c r="AJ72" s="56">
        <v>7868700</v>
      </c>
      <c r="AK72" s="56">
        <v>1</v>
      </c>
      <c r="AL72" s="56">
        <v>1</v>
      </c>
      <c r="AM72" s="56">
        <v>893900</v>
      </c>
      <c r="AN72" s="56">
        <v>1</v>
      </c>
    </row>
    <row r="73">
      <c r="A73" s="3">
        <v>2035</v>
      </c>
      <c r="B73" s="56">
        <v>703500</v>
      </c>
      <c r="C73" s="56">
        <v>6762700</v>
      </c>
      <c r="D73" s="56">
        <v>1</v>
      </c>
      <c r="E73" s="56">
        <v>1616300</v>
      </c>
      <c r="F73" s="56">
        <v>1295000</v>
      </c>
      <c r="G73" s="56">
        <v>1291500</v>
      </c>
      <c r="H73" s="56">
        <v>6027700</v>
      </c>
      <c r="I73" s="56">
        <v>3852100</v>
      </c>
      <c r="J73" s="56">
        <v>794500</v>
      </c>
      <c r="K73" s="56">
        <v>1</v>
      </c>
      <c r="L73" s="56">
        <v>4598300</v>
      </c>
      <c r="M73" s="56">
        <v>548800</v>
      </c>
      <c r="N73" s="56">
        <v>571900</v>
      </c>
      <c r="O73" s="56">
        <v>1</v>
      </c>
      <c r="P73" s="56">
        <v>886900</v>
      </c>
      <c r="Q73" s="56">
        <v>1</v>
      </c>
      <c r="R73" s="56">
        <v>6341300</v>
      </c>
      <c r="S73" s="56">
        <v>2328900</v>
      </c>
      <c r="T73" s="56">
        <v>1694000</v>
      </c>
      <c r="U73" s="56">
        <v>1</v>
      </c>
      <c r="V73" s="56">
        <v>1</v>
      </c>
      <c r="W73" s="56">
        <v>737800</v>
      </c>
      <c r="X73" s="56">
        <v>544600</v>
      </c>
      <c r="Y73" s="56">
        <v>193900</v>
      </c>
      <c r="Z73" s="56">
        <v>5346600</v>
      </c>
      <c r="AA73" s="56">
        <v>1</v>
      </c>
      <c r="AB73" s="56">
        <v>1</v>
      </c>
      <c r="AC73" s="56">
        <v>1</v>
      </c>
      <c r="AD73" s="56">
        <v>1</v>
      </c>
      <c r="AE73" s="56">
        <v>1</v>
      </c>
      <c r="AF73" s="56">
        <v>10246600</v>
      </c>
      <c r="AG73" s="56">
        <v>2592100</v>
      </c>
      <c r="AH73" s="56">
        <v>1923600</v>
      </c>
      <c r="AI73" s="56">
        <v>1</v>
      </c>
      <c r="AJ73" s="56">
        <v>7868700</v>
      </c>
      <c r="AK73" s="56">
        <v>1</v>
      </c>
      <c r="AL73" s="56">
        <v>1</v>
      </c>
      <c r="AM73" s="56">
        <v>893900</v>
      </c>
      <c r="AN73" s="56">
        <v>1</v>
      </c>
    </row>
    <row r="74">
      <c r="A74" s="3">
        <v>2036</v>
      </c>
      <c r="B74" s="56">
        <v>703500</v>
      </c>
      <c r="C74" s="56">
        <v>6762000</v>
      </c>
      <c r="D74" s="56">
        <v>1</v>
      </c>
      <c r="E74" s="56">
        <v>1614900</v>
      </c>
      <c r="F74" s="56">
        <v>1295000</v>
      </c>
      <c r="G74" s="56">
        <v>1291500</v>
      </c>
      <c r="H74" s="56">
        <v>6027700</v>
      </c>
      <c r="I74" s="56">
        <v>3852100</v>
      </c>
      <c r="J74" s="56">
        <v>794500</v>
      </c>
      <c r="K74" s="56">
        <v>1</v>
      </c>
      <c r="L74" s="56">
        <v>4596900</v>
      </c>
      <c r="M74" s="56">
        <v>548800</v>
      </c>
      <c r="N74" s="56">
        <v>571900</v>
      </c>
      <c r="O74" s="56">
        <v>1</v>
      </c>
      <c r="P74" s="56">
        <v>886900</v>
      </c>
      <c r="Q74" s="56">
        <v>1</v>
      </c>
      <c r="R74" s="56">
        <v>6341300</v>
      </c>
      <c r="S74" s="56">
        <v>2328900</v>
      </c>
      <c r="T74" s="56">
        <v>1694000</v>
      </c>
      <c r="U74" s="56">
        <v>1</v>
      </c>
      <c r="V74" s="56">
        <v>1</v>
      </c>
      <c r="W74" s="56">
        <v>737100</v>
      </c>
      <c r="X74" s="56">
        <v>544600</v>
      </c>
      <c r="Y74" s="56">
        <v>193900</v>
      </c>
      <c r="Z74" s="56">
        <v>5346600</v>
      </c>
      <c r="AA74" s="56">
        <v>1</v>
      </c>
      <c r="AB74" s="56">
        <v>1</v>
      </c>
      <c r="AC74" s="56">
        <v>1</v>
      </c>
      <c r="AD74" s="56">
        <v>1</v>
      </c>
      <c r="AE74" s="56">
        <v>1</v>
      </c>
      <c r="AF74" s="56">
        <v>10245900</v>
      </c>
      <c r="AG74" s="56">
        <v>2591400</v>
      </c>
      <c r="AH74" s="56">
        <v>1923600</v>
      </c>
      <c r="AI74" s="56">
        <v>1</v>
      </c>
      <c r="AJ74" s="56">
        <v>7868700</v>
      </c>
      <c r="AK74" s="56">
        <v>1</v>
      </c>
      <c r="AL74" s="56">
        <v>1</v>
      </c>
      <c r="AM74" s="56">
        <v>893900</v>
      </c>
      <c r="AN74" s="56">
        <v>1</v>
      </c>
    </row>
    <row r="77">
      <c r="A77" s="51" t="s">
        <v>170</v>
      </c>
      <c r="B77" s="51"/>
      <c r="C77" s="51"/>
      <c r="D77" s="51"/>
      <c r="E77" s="51"/>
    </row>
    <row r="78">
      <c r="A78" s="22" t="s">
        <v>171</v>
      </c>
      <c r="B78" s="22" t="s">
        <v>172</v>
      </c>
      <c r="C78" s="22"/>
      <c r="D78" s="22"/>
      <c r="E78" s="22"/>
    </row>
    <row r="79">
      <c r="A79" s="3" t="s">
        <v>131</v>
      </c>
      <c r="B79" s="54" t="s">
        <v>173</v>
      </c>
      <c r="C79" s="54"/>
      <c r="D79" s="54"/>
      <c r="E79" s="54"/>
    </row>
    <row r="80">
      <c r="A80" s="3" t="s">
        <v>132</v>
      </c>
      <c r="B80" s="54" t="s">
        <v>174</v>
      </c>
      <c r="C80" s="54"/>
      <c r="D80" s="54"/>
      <c r="E80" s="54"/>
    </row>
    <row r="81">
      <c r="A81" s="3" t="s">
        <v>133</v>
      </c>
      <c r="B81" s="54" t="s">
        <v>175</v>
      </c>
      <c r="C81" s="54"/>
      <c r="D81" s="54"/>
      <c r="E81" s="54"/>
    </row>
    <row r="82">
      <c r="A82" s="3" t="s">
        <v>134</v>
      </c>
      <c r="B82" s="54" t="s">
        <v>176</v>
      </c>
      <c r="C82" s="54"/>
      <c r="D82" s="54"/>
      <c r="E82" s="54"/>
    </row>
    <row r="83">
      <c r="A83" s="3" t="s">
        <v>135</v>
      </c>
      <c r="B83" s="54" t="s">
        <v>177</v>
      </c>
      <c r="C83" s="54"/>
      <c r="D83" s="54"/>
      <c r="E83" s="54"/>
    </row>
    <row r="84">
      <c r="A84" s="3" t="s">
        <v>136</v>
      </c>
      <c r="B84" s="54" t="s">
        <v>178</v>
      </c>
      <c r="C84" s="54"/>
      <c r="D84" s="54"/>
      <c r="E84" s="54"/>
    </row>
    <row r="85">
      <c r="A85" s="3" t="s">
        <v>137</v>
      </c>
      <c r="B85" s="54" t="s">
        <v>179</v>
      </c>
      <c r="C85" s="54"/>
      <c r="D85" s="54"/>
      <c r="E85" s="54"/>
    </row>
    <row r="86">
      <c r="A86" s="3" t="s">
        <v>138</v>
      </c>
      <c r="B86" s="54" t="s">
        <v>180</v>
      </c>
      <c r="C86" s="54"/>
      <c r="D86" s="54"/>
      <c r="E86" s="54"/>
    </row>
    <row r="87">
      <c r="A87" s="3" t="s">
        <v>139</v>
      </c>
      <c r="B87" s="54" t="s">
        <v>181</v>
      </c>
      <c r="C87" s="54"/>
      <c r="D87" s="54"/>
      <c r="E87" s="54"/>
    </row>
    <row r="88">
      <c r="A88" s="3" t="s">
        <v>140</v>
      </c>
      <c r="B88" s="54" t="s">
        <v>182</v>
      </c>
      <c r="C88" s="54"/>
      <c r="D88" s="54"/>
      <c r="E88" s="54"/>
    </row>
    <row r="89">
      <c r="A89" s="3" t="s">
        <v>141</v>
      </c>
      <c r="B89" s="54" t="s">
        <v>176</v>
      </c>
      <c r="C89" s="54"/>
      <c r="D89" s="54"/>
      <c r="E89" s="54"/>
    </row>
    <row r="90">
      <c r="A90" s="3" t="s">
        <v>142</v>
      </c>
      <c r="B90" s="54" t="s">
        <v>183</v>
      </c>
      <c r="C90" s="54"/>
      <c r="D90" s="54"/>
      <c r="E90" s="54"/>
    </row>
    <row r="91">
      <c r="A91" s="3" t="s">
        <v>143</v>
      </c>
      <c r="B91" s="54" t="s">
        <v>178</v>
      </c>
      <c r="C91" s="54"/>
      <c r="D91" s="54"/>
      <c r="E91" s="54"/>
    </row>
    <row r="92">
      <c r="A92" s="3" t="s">
        <v>144</v>
      </c>
      <c r="B92" s="54" t="s">
        <v>184</v>
      </c>
      <c r="C92" s="54"/>
      <c r="D92" s="54"/>
      <c r="E92" s="54"/>
    </row>
    <row r="93">
      <c r="A93" s="3" t="s">
        <v>145</v>
      </c>
      <c r="B93" s="54" t="s">
        <v>185</v>
      </c>
      <c r="C93" s="54"/>
      <c r="D93" s="54"/>
      <c r="E93" s="54"/>
    </row>
    <row r="94">
      <c r="A94" s="3" t="s">
        <v>146</v>
      </c>
      <c r="B94" s="54" t="s">
        <v>186</v>
      </c>
      <c r="C94" s="54"/>
      <c r="D94" s="54"/>
      <c r="E94" s="54"/>
    </row>
    <row r="95">
      <c r="A95" s="3" t="s">
        <v>147</v>
      </c>
      <c r="B95" s="54" t="s">
        <v>187</v>
      </c>
      <c r="C95" s="54"/>
      <c r="D95" s="54"/>
      <c r="E95" s="54"/>
    </row>
    <row r="96">
      <c r="A96" s="3" t="s">
        <v>148</v>
      </c>
      <c r="B96" s="54" t="s">
        <v>188</v>
      </c>
      <c r="C96" s="54"/>
      <c r="D96" s="54"/>
      <c r="E96" s="54"/>
    </row>
    <row r="97">
      <c r="A97" s="3" t="s">
        <v>149</v>
      </c>
      <c r="B97" s="54" t="s">
        <v>189</v>
      </c>
      <c r="C97" s="54"/>
      <c r="D97" s="54"/>
      <c r="E97" s="54"/>
    </row>
    <row r="98">
      <c r="A98" s="3" t="s">
        <v>150</v>
      </c>
      <c r="B98" s="54" t="s">
        <v>190</v>
      </c>
      <c r="C98" s="54"/>
      <c r="D98" s="54"/>
      <c r="E98" s="54"/>
    </row>
    <row r="99">
      <c r="A99" s="3" t="s">
        <v>151</v>
      </c>
      <c r="B99" s="54" t="s">
        <v>191</v>
      </c>
      <c r="C99" s="54"/>
      <c r="D99" s="54"/>
      <c r="E99" s="54"/>
    </row>
    <row r="100">
      <c r="A100" s="3" t="s">
        <v>152</v>
      </c>
      <c r="B100" s="54" t="s">
        <v>192</v>
      </c>
      <c r="C100" s="54"/>
      <c r="D100" s="54"/>
      <c r="E100" s="54"/>
    </row>
    <row r="101">
      <c r="A101" s="3" t="s">
        <v>153</v>
      </c>
      <c r="B101" s="54" t="s">
        <v>193</v>
      </c>
      <c r="C101" s="54"/>
      <c r="D101" s="54"/>
      <c r="E101" s="54"/>
    </row>
    <row r="102">
      <c r="A102" s="3" t="s">
        <v>154</v>
      </c>
      <c r="B102" s="54" t="s">
        <v>194</v>
      </c>
      <c r="C102" s="54"/>
      <c r="D102" s="54"/>
      <c r="E102" s="54"/>
    </row>
    <row r="103">
      <c r="A103" s="3" t="s">
        <v>155</v>
      </c>
      <c r="B103" s="54" t="s">
        <v>195</v>
      </c>
      <c r="C103" s="54"/>
      <c r="D103" s="54"/>
      <c r="E103" s="54"/>
    </row>
    <row r="104">
      <c r="A104" s="3" t="s">
        <v>156</v>
      </c>
      <c r="B104" s="54" t="s">
        <v>196</v>
      </c>
      <c r="C104" s="54"/>
      <c r="D104" s="54"/>
      <c r="E104" s="54"/>
    </row>
    <row r="105">
      <c r="A105" s="3" t="s">
        <v>157</v>
      </c>
      <c r="B105" s="54" t="s">
        <v>197</v>
      </c>
      <c r="C105" s="54"/>
      <c r="D105" s="54"/>
      <c r="E105" s="54"/>
    </row>
    <row r="106">
      <c r="A106" s="3" t="s">
        <v>158</v>
      </c>
      <c r="B106" s="54" t="s">
        <v>198</v>
      </c>
      <c r="C106" s="54"/>
      <c r="D106" s="54"/>
      <c r="E106" s="54"/>
    </row>
    <row r="107">
      <c r="A107" s="3" t="s">
        <v>159</v>
      </c>
      <c r="B107" s="54" t="s">
        <v>199</v>
      </c>
      <c r="C107" s="54"/>
      <c r="D107" s="54"/>
      <c r="E107" s="54"/>
    </row>
    <row r="108">
      <c r="A108" s="3" t="s">
        <v>160</v>
      </c>
      <c r="B108" s="54" t="s">
        <v>200</v>
      </c>
      <c r="C108" s="54"/>
      <c r="D108" s="54"/>
      <c r="E108" s="54"/>
    </row>
    <row r="109">
      <c r="A109" s="3" t="s">
        <v>161</v>
      </c>
      <c r="B109" s="54" t="s">
        <v>174</v>
      </c>
      <c r="C109" s="54"/>
      <c r="D109" s="54"/>
      <c r="E109" s="54"/>
    </row>
    <row r="110">
      <c r="A110" s="3" t="s">
        <v>162</v>
      </c>
      <c r="B110" s="54" t="s">
        <v>192</v>
      </c>
      <c r="C110" s="54"/>
      <c r="D110" s="54"/>
      <c r="E110" s="54"/>
    </row>
    <row r="111">
      <c r="A111" s="3" t="s">
        <v>163</v>
      </c>
      <c r="B111" s="54" t="s">
        <v>201</v>
      </c>
      <c r="C111" s="54"/>
      <c r="D111" s="54"/>
      <c r="E111" s="54"/>
    </row>
    <row r="112">
      <c r="A112" s="3" t="s">
        <v>164</v>
      </c>
      <c r="B112" s="54" t="s">
        <v>202</v>
      </c>
      <c r="C112" s="54"/>
      <c r="D112" s="54"/>
      <c r="E112" s="54"/>
    </row>
    <row r="113">
      <c r="A113" s="3" t="s">
        <v>165</v>
      </c>
      <c r="B113" s="54" t="s">
        <v>203</v>
      </c>
      <c r="C113" s="54"/>
      <c r="D113" s="54"/>
      <c r="E113" s="54"/>
    </row>
    <row r="114">
      <c r="A114" s="3" t="s">
        <v>166</v>
      </c>
      <c r="B114" s="54" t="s">
        <v>204</v>
      </c>
      <c r="C114" s="54"/>
      <c r="D114" s="54"/>
      <c r="E114" s="54"/>
    </row>
    <row r="115">
      <c r="A115" s="3" t="s">
        <v>167</v>
      </c>
      <c r="B115" s="54" t="s">
        <v>205</v>
      </c>
      <c r="C115" s="54"/>
      <c r="D115" s="54"/>
      <c r="E115" s="54"/>
    </row>
    <row r="116">
      <c r="A116" s="3" t="s">
        <v>168</v>
      </c>
      <c r="B116" s="54" t="s">
        <v>206</v>
      </c>
      <c r="C116" s="54"/>
      <c r="D116" s="54"/>
      <c r="E116" s="54"/>
    </row>
    <row r="117">
      <c r="A117" s="3" t="s">
        <v>169</v>
      </c>
      <c r="B117" s="54" t="s">
        <v>207</v>
      </c>
      <c r="C117" s="54"/>
      <c r="D117" s="54"/>
      <c r="E117" s="54"/>
    </row>
  </sheetData>
  <mergeCells>
    <mergeCell ref="A1:B1"/>
    <mergeCell ref="C1:K1"/>
    <mergeCell ref="A2:B2"/>
    <mergeCell ref="C2:K2"/>
    <mergeCell ref="A6:B6"/>
    <mergeCell ref="A10:B10"/>
    <mergeCell ref="A14:B14"/>
    <mergeCell ref="A27:B27"/>
    <mergeCell ref="A31:B31"/>
    <mergeCell ref="A37:B37"/>
    <mergeCell ref="D18:F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H18:J18"/>
    <mergeCell ref="H19:J19"/>
    <mergeCell ref="H20:I20"/>
    <mergeCell ref="H21:I21"/>
    <mergeCell ref="H22:I22"/>
    <mergeCell ref="H23:I23"/>
    <mergeCell ref="H24:I24"/>
    <mergeCell ref="H25:I25"/>
    <mergeCell ref="H26:I26"/>
    <mergeCell ref="H27:I27"/>
    <mergeCell ref="H29:I29"/>
    <mergeCell ref="H30:I30"/>
    <mergeCell ref="H31:I31"/>
    <mergeCell ref="H32:I32"/>
    <mergeCell ref="H33:I33"/>
    <mergeCell ref="H34:I34"/>
    <mergeCell ref="H36:I36"/>
    <mergeCell ref="H28:J28"/>
    <mergeCell ref="H35:I35"/>
    <mergeCell ref="F10:H10"/>
    <mergeCell ref="F12:G12"/>
    <mergeCell ref="F14:G14"/>
    <mergeCell ref="F16:G16"/>
    <mergeCell ref="L10:O10"/>
    <mergeCell ref="L12:M12"/>
    <mergeCell ref="L14:M14"/>
    <mergeCell ref="L16:M16"/>
    <mergeCell ref="L18:M18"/>
    <mergeCell ref="N12:O12"/>
    <mergeCell ref="N14:O14"/>
    <mergeCell ref="N16:O16"/>
    <mergeCell ref="N18:O18"/>
    <mergeCell ref="L20:M21"/>
    <mergeCell ref="N20:Z21"/>
    <mergeCell ref="L23:Z23"/>
    <mergeCell ref="M24:Z24"/>
    <mergeCell ref="M25:Z25"/>
    <mergeCell ref="M26:Z26"/>
    <mergeCell ref="M27:Z27"/>
    <mergeCell ref="L29:N29"/>
    <mergeCell ref="A62:A63"/>
    <mergeCell ref="B62:AN62"/>
    <mergeCell ref="A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s>
  <headerFooter/>
</worksheet>
</file>

<file path=xl/worksheets/sheet2.xml><?xml version="1.0" encoding="utf-8"?>
<worksheet xmlns:r="http://schemas.openxmlformats.org/officeDocument/2006/relationships" xmlns="http://schemas.openxmlformats.org/spreadsheetml/2006/main">
  <dimension ref="A1:I35"/>
  <sheetViews>
    <sheetView workbookViewId="0"/>
  </sheetViews>
  <sheetFormatPr defaultRowHeight="15"/>
  <cols>
    <col min="1" max="1" width="19" customWidth="1"/>
    <col min="2" max="2" width="19" customWidth="1"/>
    <col min="3" max="3" width="19" customWidth="1"/>
  </cols>
  <sheetData>
    <row r="1">
      <c r="A1" s="1" t="s">
        <v>208</v>
      </c>
      <c r="B1" s="1" t="s">
        <v>208</v>
      </c>
      <c r="I1" s="0" t="s">
        <v>209</v>
      </c>
    </row>
    <row r="2">
      <c r="E2" s="2" t="s">
        <v>210</v>
      </c>
      <c r="F2" s="2" t="s">
        <v>210</v>
      </c>
      <c r="G2" s="2" t="s">
        <v>210</v>
      </c>
      <c r="I2" s="0" t="s">
        <v>211</v>
      </c>
    </row>
    <row r="3">
      <c r="A3" s="1" t="s">
        <v>212</v>
      </c>
      <c r="B3" s="1" t="s">
        <v>212</v>
      </c>
      <c r="E3" s="2" t="s">
        <v>210</v>
      </c>
      <c r="F3" s="2" t="s">
        <v>210</v>
      </c>
      <c r="G3" s="2" t="s">
        <v>210</v>
      </c>
      <c r="I3" s="0" t="s">
        <v>213</v>
      </c>
    </row>
    <row r="4">
      <c r="A4" s="8" t="s">
        <v>214</v>
      </c>
      <c r="B4" s="8" t="s">
        <v>214</v>
      </c>
      <c r="E4" s="3" t="s">
        <v>215</v>
      </c>
      <c r="F4" s="3" t="s">
        <v>215</v>
      </c>
      <c r="G4" s="4">
        <v>4.1</v>
      </c>
      <c r="I4" s="0" t="s">
        <v>216</v>
      </c>
    </row>
    <row r="5">
      <c r="A5" s="10" t="s">
        <v>217</v>
      </c>
      <c r="B5" s="10" t="s">
        <v>217</v>
      </c>
      <c r="E5" s="3" t="s">
        <v>218</v>
      </c>
      <c r="F5" s="3" t="s">
        <v>218</v>
      </c>
      <c r="G5" s="4">
        <v>3</v>
      </c>
      <c r="I5" s="0" t="s">
        <v>219</v>
      </c>
    </row>
    <row r="6">
      <c r="I6" s="0" t="s">
        <v>220</v>
      </c>
    </row>
    <row r="7">
      <c r="A7" s="1" t="s">
        <v>221</v>
      </c>
      <c r="B7" s="1" t="s">
        <v>221</v>
      </c>
      <c r="I7" s="0" t="s">
        <v>222</v>
      </c>
    </row>
    <row r="8">
      <c r="A8" s="8" t="s">
        <v>214</v>
      </c>
      <c r="B8" s="8" t="s">
        <v>214</v>
      </c>
      <c r="E8" s="5" t="s">
        <v>223</v>
      </c>
      <c r="F8" s="5" t="s">
        <v>223</v>
      </c>
      <c r="G8" s="5" t="s">
        <v>223</v>
      </c>
      <c r="I8" s="0" t="s">
        <v>224</v>
      </c>
    </row>
    <row r="9">
      <c r="A9" s="10" t="s">
        <v>217</v>
      </c>
      <c r="B9" s="10" t="s">
        <v>217</v>
      </c>
      <c r="E9" s="7" t="s">
        <v>225</v>
      </c>
      <c r="F9" s="7" t="s">
        <v>225</v>
      </c>
      <c r="G9" s="4">
        <v>7</v>
      </c>
      <c r="I9" s="0" t="s">
        <v>226</v>
      </c>
    </row>
    <row r="10">
      <c r="A10" s="11" t="s">
        <v>227</v>
      </c>
      <c r="B10" s="11" t="s">
        <v>227</v>
      </c>
      <c r="E10" s="7" t="s">
        <v>228</v>
      </c>
      <c r="F10" s="7" t="s">
        <v>228</v>
      </c>
      <c r="G10" s="4">
        <v>5</v>
      </c>
      <c r="I10" s="0" t="s">
        <v>229</v>
      </c>
    </row>
    <row r="11">
      <c r="I11" s="0" t="s">
        <v>230</v>
      </c>
    </row>
    <row r="12">
      <c r="I12" s="0" t="s">
        <v>231</v>
      </c>
    </row>
    <row r="13">
      <c r="A13" s="0" t="s">
        <v>232</v>
      </c>
      <c r="I13" s="0" t="s">
        <v>233</v>
      </c>
    </row>
    <row r="14">
      <c r="I14" s="0" t="s">
        <v>234</v>
      </c>
    </row>
    <row r="15">
      <c r="A15" s="12">
        <v>2021</v>
      </c>
      <c r="B15" s="12">
        <v>2022</v>
      </c>
      <c r="C15" s="12">
        <v>2023</v>
      </c>
      <c r="I15" s="0" t="s">
        <v>235</v>
      </c>
    </row>
    <row r="16">
      <c r="A16" s="8" t="s">
        <v>236</v>
      </c>
      <c r="B16" s="8" t="s">
        <v>237</v>
      </c>
      <c r="C16" s="8" t="s">
        <v>236</v>
      </c>
      <c r="I16" s="0" t="s">
        <v>238</v>
      </c>
    </row>
    <row r="17">
      <c r="A17" s="0" t="s">
        <v>239</v>
      </c>
      <c r="I17" s="0" t="s">
        <v>240</v>
      </c>
    </row>
    <row r="18">
      <c r="I18" s="0" t="s">
        <v>241</v>
      </c>
    </row>
    <row r="19">
      <c r="I19" s="0" t="s">
        <v>242</v>
      </c>
    </row>
    <row r="20">
      <c r="I20" s="0" t="s">
        <v>243</v>
      </c>
    </row>
    <row r="21">
      <c r="I21" s="0" t="s">
        <v>244</v>
      </c>
    </row>
    <row r="22">
      <c r="I22" s="0" t="s">
        <v>245</v>
      </c>
    </row>
    <row r="23">
      <c r="I23" s="0" t="s">
        <v>246</v>
      </c>
    </row>
    <row r="24">
      <c r="I24" s="0" t="s">
        <v>247</v>
      </c>
    </row>
    <row r="26">
      <c r="A26" s="13" t="s">
        <v>248</v>
      </c>
      <c r="B26" s="13" t="s">
        <v>248</v>
      </c>
      <c r="C26" s="13" t="s">
        <v>248</v>
      </c>
      <c r="D26" s="13" t="s">
        <v>248</v>
      </c>
      <c r="E26" s="13" t="s">
        <v>248</v>
      </c>
      <c r="F26" s="13" t="s">
        <v>248</v>
      </c>
      <c r="G26" s="13" t="s">
        <v>248</v>
      </c>
      <c r="H26" s="13" t="s">
        <v>248</v>
      </c>
    </row>
    <row r="27">
      <c r="A27" s="13" t="s">
        <v>249</v>
      </c>
      <c r="B27" s="13" t="s">
        <v>249</v>
      </c>
      <c r="C27" s="13" t="s">
        <v>249</v>
      </c>
      <c r="D27" s="13" t="s">
        <v>249</v>
      </c>
      <c r="E27" s="13" t="s">
        <v>249</v>
      </c>
      <c r="F27" s="13" t="s">
        <v>249</v>
      </c>
      <c r="G27" s="13" t="s">
        <v>249</v>
      </c>
      <c r="H27" s="13" t="s">
        <v>249</v>
      </c>
    </row>
    <row r="28">
      <c r="A28" s="14">
        <f ref="A28:H28" t="shared" si="1">=HYPERLINK("https://docs.penndot.pa.gov/Public/Bureaus/BOO/AMPortal/", "PennDOT-Asset Management Portal")</f>
      </c>
      <c r="B28" s="14">
        <f t="shared" si="1"/>
      </c>
      <c r="C28" s="14">
        <f t="shared" si="1"/>
      </c>
      <c r="D28" s="14">
        <f t="shared" si="1"/>
      </c>
      <c r="E28" s="14">
        <f t="shared" si="1"/>
      </c>
      <c r="F28" s="14">
        <f t="shared" si="1"/>
      </c>
      <c r="G28" s="14">
        <f t="shared" si="1"/>
      </c>
      <c r="H28" s="14">
        <f t="shared" si="1"/>
      </c>
    </row>
    <row r="29">
      <c r="A29" s="2" t="s">
        <v>250</v>
      </c>
      <c r="B29" s="2" t="s">
        <v>250</v>
      </c>
      <c r="C29" s="2" t="s">
        <v>250</v>
      </c>
      <c r="D29" s="2" t="s">
        <v>250</v>
      </c>
      <c r="E29" s="2" t="s">
        <v>250</v>
      </c>
      <c r="F29" s="2" t="s">
        <v>250</v>
      </c>
      <c r="G29" s="2" t="s">
        <v>250</v>
      </c>
      <c r="H29" s="2" t="s">
        <v>250</v>
      </c>
    </row>
    <row r="30">
      <c r="A30" s="2" t="s">
        <v>250</v>
      </c>
      <c r="B30" s="2" t="s">
        <v>250</v>
      </c>
      <c r="C30" s="2" t="s">
        <v>250</v>
      </c>
      <c r="D30" s="2" t="s">
        <v>250</v>
      </c>
      <c r="E30" s="2" t="s">
        <v>250</v>
      </c>
      <c r="F30" s="2" t="s">
        <v>250</v>
      </c>
      <c r="G30" s="2" t="s">
        <v>250</v>
      </c>
      <c r="H30" s="2" t="s">
        <v>250</v>
      </c>
    </row>
    <row r="31">
      <c r="A31" s="2" t="s">
        <v>250</v>
      </c>
      <c r="B31" s="2" t="s">
        <v>250</v>
      </c>
      <c r="C31" s="2" t="s">
        <v>250</v>
      </c>
      <c r="D31" s="2" t="s">
        <v>250</v>
      </c>
      <c r="E31" s="2" t="s">
        <v>250</v>
      </c>
      <c r="F31" s="2" t="s">
        <v>250</v>
      </c>
      <c r="G31" s="2" t="s">
        <v>250</v>
      </c>
      <c r="H31" s="2" t="s">
        <v>250</v>
      </c>
    </row>
    <row r="32">
      <c r="A32" s="2" t="s">
        <v>250</v>
      </c>
      <c r="B32" s="2" t="s">
        <v>250</v>
      </c>
      <c r="C32" s="2" t="s">
        <v>250</v>
      </c>
      <c r="D32" s="2" t="s">
        <v>250</v>
      </c>
      <c r="E32" s="2" t="s">
        <v>250</v>
      </c>
      <c r="F32" s="2" t="s">
        <v>250</v>
      </c>
      <c r="G32" s="2" t="s">
        <v>250</v>
      </c>
      <c r="H32" s="2" t="s">
        <v>250</v>
      </c>
    </row>
    <row r="33">
      <c r="A33" s="2" t="s">
        <v>250</v>
      </c>
      <c r="B33" s="2" t="s">
        <v>250</v>
      </c>
      <c r="C33" s="2" t="s">
        <v>250</v>
      </c>
      <c r="D33" s="2" t="s">
        <v>250</v>
      </c>
      <c r="E33" s="2" t="s">
        <v>250</v>
      </c>
      <c r="F33" s="2" t="s">
        <v>250</v>
      </c>
      <c r="G33" s="2" t="s">
        <v>250</v>
      </c>
      <c r="H33" s="2" t="s">
        <v>250</v>
      </c>
    </row>
    <row r="34">
      <c r="A34" s="2" t="s">
        <v>250</v>
      </c>
      <c r="B34" s="2" t="s">
        <v>250</v>
      </c>
      <c r="C34" s="2" t="s">
        <v>250</v>
      </c>
      <c r="D34" s="2" t="s">
        <v>250</v>
      </c>
      <c r="E34" s="2" t="s">
        <v>250</v>
      </c>
      <c r="F34" s="2" t="s">
        <v>250</v>
      </c>
      <c r="G34" s="2" t="s">
        <v>250</v>
      </c>
      <c r="H34" s="2" t="s">
        <v>250</v>
      </c>
    </row>
    <row r="35">
      <c r="A35" s="2" t="s">
        <v>250</v>
      </c>
      <c r="B35" s="2" t="s">
        <v>250</v>
      </c>
      <c r="C35" s="2" t="s">
        <v>250</v>
      </c>
      <c r="D35" s="2" t="s">
        <v>250</v>
      </c>
      <c r="E35" s="2" t="s">
        <v>250</v>
      </c>
      <c r="F35" s="2" t="s">
        <v>250</v>
      </c>
      <c r="G35" s="2" t="s">
        <v>250</v>
      </c>
      <c r="H35" s="2" t="s">
        <v>250</v>
      </c>
    </row>
  </sheetData>
  <mergeCells>
    <mergeCell ref="E2:G3"/>
    <mergeCell ref="E4:F4"/>
    <mergeCell ref="E5:F5"/>
    <mergeCell ref="E8:G8"/>
    <mergeCell ref="E9:F9"/>
    <mergeCell ref="E10:F10"/>
    <mergeCell ref="A1:B1"/>
    <mergeCell ref="A3:B3"/>
    <mergeCell ref="A4:B4"/>
    <mergeCell ref="A5:B5"/>
    <mergeCell ref="A6:B6"/>
    <mergeCell ref="A7:B7"/>
    <mergeCell ref="A8:B8"/>
    <mergeCell ref="A9:B9"/>
    <mergeCell ref="A10:B10"/>
    <mergeCell ref="A18:B18"/>
    <mergeCell ref="A19:B19"/>
    <mergeCell ref="A20:B20"/>
    <mergeCell ref="A21:B21"/>
    <mergeCell ref="A22:B22"/>
    <mergeCell ref="A23:B23"/>
    <mergeCell ref="A24:B24"/>
    <mergeCell ref="A25:B25"/>
    <mergeCell ref="A26:H26"/>
    <mergeCell ref="A27:H27"/>
    <mergeCell ref="A28:H28"/>
    <mergeCell ref="A29:H35"/>
  </mergeCells>
  <headerFooter/>
</worksheet>
</file>

<file path=xl/worksheets/sheet3.xml><?xml version="1.0" encoding="utf-8"?>
<worksheet xmlns:r="http://schemas.openxmlformats.org/officeDocument/2006/relationships" xmlns="http://schemas.openxmlformats.org/spreadsheetml/2006/main">
  <dimension ref="A2:LE26"/>
  <sheetViews>
    <sheetView workbookViewId="0"/>
  </sheetViews>
  <sheetFormatPr defaultRowHeight="15" defaultColWidth="13"/>
  <cols>
    <col min="1" max="1" width="13" customWidth="1"/>
    <col min="2" max="2" width="13" customWidth="1"/>
    <col min="3" max="3" width="16.723894119262695" customWidth="1"/>
    <col min="4" max="4" width="13" customWidth="1"/>
    <col min="5" max="5" width="13" customWidth="1"/>
    <col min="6" max="6" width="13" customWidth="1"/>
    <col min="7" max="7" width="36.320709228515625" customWidth="1"/>
    <col min="8" max="8" width="13" customWidth="1"/>
    <col min="9" max="9" width="13" customWidth="1"/>
    <col min="10" max="10" width="13" customWidth="1"/>
    <col min="11" max="11" width="27.643070220947266" customWidth="1"/>
    <col min="12" max="12" width="22.214685440063477" customWidth="1"/>
    <col min="13" max="13" width="38.814937591552734" customWidth="1"/>
    <col min="14" max="14" width="32.49649429321289" customWidth="1"/>
    <col min="15" max="15" width="13" customWidth="1"/>
    <col min="16" max="16" width="13" customWidth="1"/>
    <col min="17" max="17" width="13" customWidth="1"/>
    <col min="18" max="18" width="13" customWidth="1"/>
    <col min="19" max="19" width="13" customWidth="1"/>
    <col min="20" max="20" width="34.34312438964844" customWidth="1"/>
    <col min="21" max="21" width="13" customWidth="1"/>
    <col min="22" max="22" width="13" customWidth="1"/>
    <col min="23" max="23" width="15.945341110229492" customWidth="1"/>
    <col min="24" max="24" width="13" customWidth="1"/>
    <col min="25" max="25" width="13" customWidth="1"/>
    <col min="26" max="26" width="13" customWidth="1"/>
    <col min="27" max="27" width="13" customWidth="1"/>
    <col min="28" max="28" width="50.929054260253906" customWidth="1"/>
    <col min="29" max="29" width="13" customWidth="1"/>
    <col min="30" max="30" width="13" customWidth="1"/>
    <col min="31" max="31" width="13" customWidth="1"/>
    <col min="32" max="32" width="13" customWidth="1"/>
    <col min="33" max="33" width="13" customWidth="1"/>
    <col min="34" max="34" width="13" customWidth="1"/>
    <col min="35" max="35" width="13" customWidth="1"/>
    <col min="36" max="36" width="13" customWidth="1"/>
    <col min="37" max="37" width="13" customWidth="1"/>
    <col min="38" max="38" width="13" customWidth="1"/>
    <col min="39" max="39" width="13" customWidth="1"/>
    <col min="40" max="40" width="13" customWidth="1"/>
    <col min="41" max="41" width="13" customWidth="1"/>
    <col min="42" max="42" width="13" customWidth="1"/>
    <col min="43" max="43" width="22.926738739013672" customWidth="1"/>
    <col min="44" max="44" width="13" customWidth="1"/>
    <col min="45" max="45" width="13" customWidth="1"/>
    <col min="46" max="46" width="13" customWidth="1"/>
    <col min="47" max="47" width="13" customWidth="1"/>
    <col min="48" max="48" width="13" customWidth="1"/>
    <col min="49" max="49" width="13" customWidth="1"/>
    <col min="50" max="50" width="29.175622940063477" customWidth="1"/>
    <col min="51" max="51" width="13" customWidth="1"/>
    <col min="52" max="52" width="23.460779190063477" customWidth="1"/>
    <col min="53" max="53" width="13" customWidth="1"/>
    <col min="54" max="54" width="13" customWidth="1"/>
    <col min="55" max="55" width="13" customWidth="1"/>
    <col min="56" max="56" width="29.175622940063477" customWidth="1"/>
    <col min="57" max="57" width="13" customWidth="1"/>
    <col min="58" max="58" width="13" customWidth="1"/>
    <col min="59" max="59" width="13" customWidth="1"/>
    <col min="60" max="60" width="18.634979248046875" customWidth="1"/>
    <col min="61" max="61" width="13" customWidth="1"/>
    <col min="62" max="62" width="13" customWidth="1"/>
    <col min="63" max="63" width="13" customWidth="1"/>
    <col min="64" max="64" width="13" customWidth="1"/>
    <col min="65" max="65" width="13" customWidth="1"/>
    <col min="66" max="66" width="13" customWidth="1"/>
    <col min="67" max="67" width="13" customWidth="1"/>
    <col min="68" max="68" width="13" customWidth="1"/>
    <col min="69" max="69" width="13" customWidth="1"/>
    <col min="70" max="70" width="19.606891632080078" customWidth="1"/>
    <col min="71" max="71" width="13" customWidth="1"/>
    <col min="72" max="72" width="13" customWidth="1"/>
    <col min="73" max="73" width="13" customWidth="1"/>
    <col min="74" max="74" width="13" customWidth="1"/>
    <col min="75" max="75" width="0" customWidth="1"/>
    <col min="76" max="76" width="0" customWidth="1"/>
    <col min="77" max="77" width="0" customWidth="1"/>
    <col min="78" max="78" width="0" customWidth="1"/>
    <col min="79" max="79" width="0" customWidth="1"/>
    <col min="80" max="80" width="0" customWidth="1"/>
    <col min="81" max="81" width="0" customWidth="1"/>
    <col min="82" max="82" width="0" customWidth="1"/>
    <col min="83" max="83" width="0" customWidth="1"/>
    <col min="84" max="84" width="0" customWidth="1"/>
    <col min="85" max="85" width="0" customWidth="1"/>
    <col min="86" max="86" width="3.7142857142857144" customWidth="1" style="24"/>
    <col min="87" max="87" width="13" customWidth="1"/>
    <col min="88" max="88" width="13" customWidth="1"/>
    <col min="89" max="89" width="13" customWidth="1"/>
    <col min="90" max="90" width="13" customWidth="1"/>
    <col min="91" max="91" width="13" customWidth="1"/>
    <col min="92" max="92" width="13" customWidth="1"/>
    <col min="93" max="93" width="13" customWidth="1"/>
    <col min="94" max="94" width="13" customWidth="1"/>
    <col min="95" max="95" width="13" customWidth="1"/>
    <col min="96" max="96" width="13" customWidth="1"/>
    <col min="97" max="97" width="13" customWidth="1"/>
    <col min="98" max="98" width="3.7142857142857144" customWidth="1" style="24"/>
    <col min="99" max="99" width="13" customWidth="1"/>
    <col min="100" max="100" width="13" customWidth="1"/>
    <col min="101" max="101" width="13" customWidth="1"/>
    <col min="102" max="102" width="13" customWidth="1"/>
    <col min="103" max="103" width="13" customWidth="1"/>
    <col min="104" max="104" width="13" customWidth="1"/>
    <col min="105" max="105" width="13" customWidth="1"/>
    <col min="106" max="106" width="13" customWidth="1"/>
    <col min="107" max="107" width="13" customWidth="1"/>
    <col min="108" max="108" width="13" customWidth="1"/>
    <col min="109" max="109" width="13" customWidth="1"/>
    <col min="110" max="110" width="13" customWidth="1"/>
    <col min="111" max="111" width="13" customWidth="1"/>
    <col min="112" max="112" width="13" customWidth="1"/>
    <col min="113" max="113" width="30.205846786499023" customWidth="1"/>
    <col min="114" max="114" width="13" customWidth="1"/>
    <col min="115" max="115" width="13" customWidth="1"/>
    <col min="116" max="116" width="13.690505027770996" customWidth="1"/>
    <col min="117" max="117" width="13" customWidth="1"/>
    <col min="118" max="118" width="3.7142857142857144" customWidth="1" style="24"/>
    <col min="119" max="119" width="13" customWidth="1"/>
    <col min="120" max="120" width="13" customWidth="1"/>
    <col min="121" max="121" width="13" customWidth="1"/>
    <col min="122" max="122" width="13" customWidth="1"/>
    <col min="123" max="123" width="13" customWidth="1"/>
    <col min="124" max="124" width="13" customWidth="1"/>
    <col min="125" max="125" width="13" customWidth="1"/>
    <col min="126" max="126" width="13" customWidth="1"/>
    <col min="127" max="127" width="13" customWidth="1"/>
    <col min="128" max="128" width="13" customWidth="1"/>
    <col min="129" max="129" width="13" customWidth="1"/>
    <col min="130" max="130" width="13" customWidth="1"/>
    <col min="131" max="131" width="13" customWidth="1"/>
    <col min="132" max="132" width="13" customWidth="1"/>
    <col min="133" max="133" width="24.447011947631836" customWidth="1"/>
    <col min="134" max="134" width="13" customWidth="1"/>
    <col min="135" max="135" width="13" customWidth="1"/>
    <col min="136" max="136" width="13.690505027770996" customWidth="1"/>
    <col min="137" max="137" width="13" customWidth="1"/>
    <col min="138" max="138" width="3.7142857142857144" customWidth="1" style="24"/>
    <col min="139" max="139" width="13" customWidth="1"/>
    <col min="140" max="140" width="13" customWidth="1"/>
    <col min="141" max="141" width="13" customWidth="1"/>
    <col min="142" max="142" width="13" customWidth="1"/>
    <col min="143" max="143" width="13" customWidth="1"/>
    <col min="144" max="144" width="13" customWidth="1"/>
    <col min="145" max="145" width="13" customWidth="1"/>
    <col min="146" max="146" width="13" customWidth="1"/>
    <col min="147" max="147" width="13" customWidth="1"/>
    <col min="148" max="148" width="13" customWidth="1"/>
    <col min="149" max="149" width="13" customWidth="1"/>
    <col min="150" max="150" width="13" customWidth="1"/>
    <col min="151" max="151" width="13" customWidth="1"/>
    <col min="152" max="152" width="13" customWidth="1"/>
    <col min="153" max="153" width="13.721197128295898" customWidth="1"/>
    <col min="154" max="154" width="13" customWidth="1"/>
    <col min="155" max="155" width="13" customWidth="1"/>
    <col min="156" max="156" width="13.005050659179688" customWidth="1"/>
    <col min="157" max="157" width="13" customWidth="1"/>
    <col min="158" max="158" width="3.7142857142857144" customWidth="1" style="24"/>
    <col min="159" max="159" width="13" customWidth="1"/>
    <col min="160" max="160" width="13" customWidth="1"/>
    <col min="161" max="161" width="13" customWidth="1"/>
    <col min="162" max="162" width="13" customWidth="1"/>
    <col min="163" max="163" width="13" customWidth="1"/>
    <col min="164" max="164" width="13" customWidth="1"/>
    <col min="165" max="165" width="13" customWidth="1"/>
    <col min="166" max="166" width="13" customWidth="1"/>
    <col min="167" max="167" width="13" customWidth="1"/>
    <col min="168" max="168" width="13" customWidth="1"/>
    <col min="169" max="169" width="13" customWidth="1"/>
    <col min="170" max="170" width="13" customWidth="1"/>
    <col min="171" max="171" width="13" customWidth="1"/>
    <col min="172" max="172" width="13" customWidth="1"/>
    <col min="173" max="173" width="30.205846786499023" customWidth="1"/>
    <col min="174" max="174" width="13" customWidth="1"/>
    <col min="175" max="175" width="13" customWidth="1"/>
    <col min="176" max="176" width="13.005050659179688" customWidth="1"/>
    <col min="177" max="177" width="13" customWidth="1"/>
    <col min="178" max="178" width="3.7142857142857144" customWidth="1" style="24"/>
    <col min="179" max="179" width="13" customWidth="1"/>
    <col min="180" max="180" width="13" customWidth="1"/>
    <col min="181" max="181" width="13" customWidth="1"/>
    <col min="182" max="182" width="13" customWidth="1"/>
    <col min="183" max="183" width="13" customWidth="1"/>
    <col min="184" max="184" width="13" customWidth="1"/>
    <col min="185" max="185" width="13" customWidth="1"/>
    <col min="186" max="186" width="13" customWidth="1"/>
    <col min="187" max="187" width="13" customWidth="1"/>
    <col min="188" max="188" width="13" customWidth="1"/>
    <col min="189" max="189" width="13" customWidth="1"/>
    <col min="190" max="190" width="13" customWidth="1"/>
    <col min="191" max="191" width="13" customWidth="1"/>
    <col min="192" max="192" width="13" customWidth="1"/>
    <col min="193" max="193" width="13.721197128295898" customWidth="1"/>
    <col min="194" max="194" width="13" customWidth="1"/>
    <col min="195" max="195" width="13" customWidth="1"/>
    <col min="196" max="196" width="13.005050659179688" customWidth="1"/>
    <col min="197" max="197" width="13" customWidth="1"/>
    <col min="198" max="198" width="3.7142857142857144" customWidth="1" style="24"/>
    <col min="199" max="199" width="13" customWidth="1"/>
    <col min="200" max="200" width="13" customWidth="1"/>
    <col min="201" max="201" width="13" customWidth="1"/>
    <col min="202" max="202" width="13" customWidth="1"/>
    <col min="203" max="203" width="13" customWidth="1"/>
    <col min="204" max="204" width="13" customWidth="1"/>
    <col min="205" max="205" width="13" customWidth="1"/>
    <col min="206" max="206" width="13" customWidth="1"/>
    <col min="207" max="207" width="13" customWidth="1"/>
    <col min="208" max="208" width="13" customWidth="1"/>
    <col min="209" max="209" width="13" customWidth="1"/>
    <col min="210" max="210" width="13" customWidth="1"/>
    <col min="211" max="211" width="13" customWidth="1"/>
    <col min="212" max="212" width="13" customWidth="1"/>
    <col min="213" max="213" width="19.094335556030273" customWidth="1"/>
    <col min="214" max="214" width="13" customWidth="1"/>
    <col min="215" max="215" width="13" customWidth="1"/>
    <col min="216" max="216" width="13.005050659179688" customWidth="1"/>
    <col min="217" max="217" width="13" customWidth="1"/>
    <col min="218" max="218" width="3.7142857142857144" customWidth="1" style="24"/>
    <col min="219" max="219" width="13" customWidth="1"/>
    <col min="220" max="220" width="13" customWidth="1"/>
    <col min="221" max="221" width="13" customWidth="1"/>
    <col min="222" max="222" width="13" customWidth="1"/>
    <col min="223" max="223" width="13" customWidth="1"/>
    <col min="224" max="224" width="13" customWidth="1"/>
    <col min="225" max="225" width="13" customWidth="1"/>
    <col min="226" max="226" width="13" customWidth="1"/>
    <col min="227" max="227" width="13" customWidth="1"/>
    <col min="228" max="228" width="13" customWidth="1"/>
    <col min="229" max="229" width="13" customWidth="1"/>
    <col min="230" max="230" width="13" customWidth="1"/>
    <col min="231" max="231" width="13" customWidth="1"/>
    <col min="232" max="232" width="13" customWidth="1"/>
    <col min="233" max="233" width="13.721197128295898" customWidth="1"/>
    <col min="234" max="234" width="13" customWidth="1"/>
    <col min="235" max="235" width="13" customWidth="1"/>
    <col min="236" max="236" width="13.005050659179688" customWidth="1"/>
    <col min="237" max="237" width="13" customWidth="1"/>
    <col min="238" max="238" width="3.7142857142857144" customWidth="1" style="24"/>
    <col min="239" max="239" width="13" customWidth="1"/>
    <col min="240" max="240" width="13" customWidth="1"/>
    <col min="241" max="241" width="13" customWidth="1"/>
    <col min="242" max="242" width="13" customWidth="1"/>
    <col min="243" max="243" width="13" customWidth="1"/>
    <col min="244" max="244" width="13" customWidth="1"/>
    <col min="245" max="245" width="13" customWidth="1"/>
    <col min="246" max="246" width="13" customWidth="1"/>
    <col min="247" max="247" width="13" customWidth="1"/>
    <col min="248" max="248" width="13" customWidth="1"/>
    <col min="249" max="249" width="13" customWidth="1"/>
    <col min="250" max="250" width="13" customWidth="1"/>
    <col min="251" max="251" width="13" customWidth="1"/>
    <col min="252" max="252" width="13" customWidth="1"/>
    <col min="253" max="253" width="13.721197128295898" customWidth="1"/>
    <col min="254" max="254" width="13" customWidth="1"/>
    <col min="255" max="255" width="13" customWidth="1"/>
    <col min="256" max="256" width="13.005050659179688" customWidth="1"/>
    <col min="257" max="257" width="13" customWidth="1"/>
    <col min="258" max="258" width="3.7142857142857144" customWidth="1" style="24"/>
    <col min="259" max="259" width="13" customWidth="1"/>
    <col min="260" max="260" width="13" customWidth="1"/>
    <col min="261" max="261" width="13" customWidth="1"/>
    <col min="262" max="262" width="13" customWidth="1"/>
    <col min="263" max="263" width="13" customWidth="1"/>
    <col min="264" max="264" width="13" customWidth="1"/>
    <col min="265" max="265" width="13" customWidth="1"/>
    <col min="266" max="266" width="13" customWidth="1"/>
    <col min="267" max="267" width="13" customWidth="1"/>
    <col min="268" max="268" width="13" customWidth="1"/>
    <col min="269" max="269" width="13" customWidth="1"/>
    <col min="270" max="270" width="13" customWidth="1"/>
    <col min="271" max="271" width="13" customWidth="1"/>
    <col min="272" max="272" width="13" customWidth="1"/>
    <col min="273" max="273" width="13.721197128295898" customWidth="1"/>
    <col min="274" max="274" width="13" customWidth="1"/>
    <col min="275" max="275" width="13" customWidth="1"/>
    <col min="276" max="276" width="13.005050659179688" customWidth="1"/>
    <col min="277" max="277" width="13" customWidth="1"/>
    <col min="278" max="278" width="3.7142857142857144" customWidth="1" style="24"/>
    <col min="279" max="279" width="13" customWidth="1"/>
    <col min="280" max="280" width="13" customWidth="1"/>
    <col min="281" max="281" width="13" customWidth="1"/>
    <col min="282" max="282" width="13" customWidth="1"/>
    <col min="283" max="283" width="13" customWidth="1"/>
    <col min="284" max="284" width="13" customWidth="1"/>
    <col min="285" max="285" width="13" customWidth="1"/>
    <col min="286" max="286" width="13" customWidth="1"/>
    <col min="287" max="287" width="13" customWidth="1"/>
    <col min="288" max="288" width="13" customWidth="1"/>
    <col min="289" max="289" width="13" customWidth="1"/>
    <col min="290" max="290" width="13" customWidth="1"/>
    <col min="291" max="291" width="13" customWidth="1"/>
    <col min="292" max="292" width="13" customWidth="1"/>
    <col min="293" max="293" width="13.721197128295898" customWidth="1"/>
    <col min="294" max="294" width="13" customWidth="1"/>
    <col min="295" max="295" width="13" customWidth="1"/>
    <col min="296" max="296" width="13.005050659179688" customWidth="1"/>
    <col min="297" max="297" width="13" customWidth="1"/>
    <col min="298" max="298" width="3.7142857142857144" customWidth="1" style="24"/>
    <col min="299" max="299" width="13" customWidth="1"/>
    <col min="300" max="300" width="13" customWidth="1"/>
    <col min="301" max="301" width="13" customWidth="1"/>
    <col min="302" max="302" width="13" customWidth="1"/>
    <col min="303" max="303" width="13" customWidth="1"/>
    <col min="304" max="304" width="13" customWidth="1"/>
    <col min="305" max="305" width="13" customWidth="1"/>
    <col min="306" max="306" width="13" customWidth="1"/>
    <col min="307" max="307" width="13" customWidth="1"/>
    <col min="308" max="308" width="13" customWidth="1"/>
    <col min="309" max="309" width="13" customWidth="1"/>
    <col min="310" max="310" width="13" customWidth="1"/>
    <col min="311" max="311" width="13" customWidth="1"/>
    <col min="312" max="312" width="13" customWidth="1"/>
    <col min="313" max="313" width="19.93427085876465" customWidth="1"/>
    <col min="314" max="314" width="13" customWidth="1"/>
    <col min="315" max="315" width="13" customWidth="1"/>
    <col min="316" max="316" width="13.005050659179688" customWidth="1"/>
    <col min="317" max="317" width="13" customWidth="1"/>
  </cols>
  <sheetData>
    <row r="2">
      <c r="A2" s="15" t="s">
        <v>251</v>
      </c>
      <c r="B2" s="16"/>
      <c r="C2" s="16"/>
      <c r="D2" s="16"/>
      <c r="E2" s="17" t="s">
        <v>252</v>
      </c>
      <c r="F2" s="16"/>
      <c r="G2" s="16"/>
      <c r="H2" s="16"/>
      <c r="I2" s="16"/>
      <c r="J2" s="16"/>
      <c r="K2" s="16"/>
      <c r="L2" s="16"/>
      <c r="M2" s="16"/>
      <c r="N2" s="16"/>
      <c r="O2" s="18" t="s">
        <v>253</v>
      </c>
      <c r="P2" s="16"/>
      <c r="Q2" s="16"/>
      <c r="R2" s="16"/>
      <c r="S2" s="16"/>
      <c r="T2" s="16"/>
      <c r="U2" s="16"/>
      <c r="V2" s="16"/>
      <c r="W2" s="19" t="s">
        <v>254</v>
      </c>
      <c r="X2" s="16"/>
      <c r="Y2" s="16"/>
      <c r="Z2" s="16"/>
      <c r="AA2" s="16"/>
      <c r="AB2" s="20" t="s">
        <v>255</v>
      </c>
      <c r="AC2" s="16"/>
      <c r="AD2" s="16"/>
      <c r="AE2" s="16"/>
      <c r="AF2" s="16"/>
      <c r="AG2" s="16"/>
      <c r="AH2" s="16"/>
      <c r="AI2" s="16"/>
      <c r="AJ2" s="16"/>
      <c r="AK2" s="16"/>
      <c r="AL2" s="16"/>
      <c r="AM2" s="16"/>
      <c r="AN2" s="16"/>
      <c r="AO2" s="21" t="s">
        <v>256</v>
      </c>
      <c r="AP2" s="16"/>
      <c r="AQ2" s="16"/>
      <c r="AR2" s="16"/>
      <c r="AS2" s="16"/>
      <c r="AT2" s="16"/>
      <c r="AU2" s="16"/>
      <c r="AV2" s="16"/>
      <c r="AW2" s="16"/>
    </row>
    <row r="3" ht="25" customHeight="1">
      <c r="A3" s="22" t="s">
        <v>257</v>
      </c>
      <c r="B3" s="22" t="s">
        <v>258</v>
      </c>
      <c r="C3" s="22" t="s">
        <v>259</v>
      </c>
      <c r="D3" s="22" t="s">
        <v>260</v>
      </c>
      <c r="E3" s="22" t="s">
        <v>261</v>
      </c>
      <c r="F3" s="22" t="s">
        <v>262</v>
      </c>
      <c r="G3" s="22" t="s">
        <v>263</v>
      </c>
      <c r="H3" s="22" t="s">
        <v>264</v>
      </c>
      <c r="I3" s="22" t="s">
        <v>265</v>
      </c>
      <c r="J3" s="22" t="s">
        <v>266</v>
      </c>
      <c r="K3" s="22" t="s">
        <v>267</v>
      </c>
      <c r="L3" s="22" t="s">
        <v>268</v>
      </c>
      <c r="M3" s="22" t="s">
        <v>269</v>
      </c>
      <c r="N3" s="22" t="s">
        <v>270</v>
      </c>
      <c r="O3" s="22" t="s">
        <v>271</v>
      </c>
      <c r="P3" s="22" t="s">
        <v>272</v>
      </c>
      <c r="Q3" s="22" t="s">
        <v>273</v>
      </c>
      <c r="R3" s="22" t="s">
        <v>274</v>
      </c>
      <c r="S3" s="22" t="s">
        <v>275</v>
      </c>
      <c r="T3" s="22" t="s">
        <v>276</v>
      </c>
      <c r="U3" s="22" t="s">
        <v>277</v>
      </c>
      <c r="V3" s="22" t="s">
        <v>278</v>
      </c>
      <c r="W3" s="22" t="s">
        <v>279</v>
      </c>
      <c r="X3" s="22" t="s">
        <v>280</v>
      </c>
      <c r="Y3" s="22" t="s">
        <v>281</v>
      </c>
      <c r="Z3" s="22" t="s">
        <v>282</v>
      </c>
      <c r="AA3" s="22" t="s">
        <v>283</v>
      </c>
      <c r="AB3" s="22" t="s">
        <v>284</v>
      </c>
      <c r="AC3" s="22" t="s">
        <v>285</v>
      </c>
      <c r="AD3" s="22" t="s">
        <v>286</v>
      </c>
      <c r="AE3" s="22" t="s">
        <v>287</v>
      </c>
      <c r="AF3" s="22" t="s">
        <v>288</v>
      </c>
      <c r="AG3" s="22" t="s">
        <v>289</v>
      </c>
      <c r="AH3" s="22" t="s">
        <v>290</v>
      </c>
      <c r="AI3" s="22" t="s">
        <v>291</v>
      </c>
      <c r="AJ3" s="22" t="s">
        <v>292</v>
      </c>
      <c r="AK3" s="22" t="s">
        <v>293</v>
      </c>
      <c r="AL3" s="22" t="s">
        <v>294</v>
      </c>
      <c r="AM3" s="22" t="s">
        <v>295</v>
      </c>
      <c r="AN3" s="22" t="s">
        <v>296</v>
      </c>
      <c r="AO3" s="22" t="s">
        <v>297</v>
      </c>
      <c r="AP3" s="22" t="s">
        <v>298</v>
      </c>
      <c r="AQ3" s="22" t="s">
        <v>299</v>
      </c>
      <c r="AR3" s="22" t="s">
        <v>300</v>
      </c>
      <c r="AS3" s="22"/>
      <c r="AT3" s="22"/>
      <c r="AU3" s="22"/>
      <c r="AV3" s="22"/>
      <c r="AW3" s="22"/>
      <c r="AX3" s="26" t="s">
        <v>301</v>
      </c>
      <c r="AY3" s="22"/>
      <c r="AZ3" s="26" t="s">
        <v>302</v>
      </c>
      <c r="BA3" s="22"/>
      <c r="BB3" s="26" t="s">
        <v>303</v>
      </c>
      <c r="BC3" s="22"/>
      <c r="BD3" s="26" t="s">
        <v>304</v>
      </c>
      <c r="BE3" s="22"/>
      <c r="BF3" s="26" t="s">
        <v>305</v>
      </c>
      <c r="BG3" s="22"/>
      <c r="BH3" s="26" t="s">
        <v>306</v>
      </c>
      <c r="BI3" s="22"/>
      <c r="BJ3" s="26" t="s">
        <v>307</v>
      </c>
      <c r="BK3" s="22"/>
      <c r="BL3" s="26" t="s">
        <v>308</v>
      </c>
      <c r="BM3" s="22"/>
      <c r="BN3" s="26" t="s">
        <v>309</v>
      </c>
      <c r="BO3" s="22"/>
      <c r="BP3" s="26" t="s">
        <v>310</v>
      </c>
      <c r="BQ3" s="22"/>
      <c r="BR3" s="26" t="s">
        <v>311</v>
      </c>
      <c r="BS3" s="27"/>
      <c r="BT3" s="27" t="s">
        <v>312</v>
      </c>
      <c r="BU3" s="28" t="s">
        <v>313</v>
      </c>
      <c r="BV3" s="27" t="s">
        <v>314</v>
      </c>
      <c r="BW3" s="22" t="s">
        <v>315</v>
      </c>
      <c r="BX3" s="22"/>
      <c r="BY3" s="22"/>
      <c r="BZ3" s="22"/>
      <c r="CA3" s="22"/>
      <c r="CB3" s="22"/>
      <c r="CC3" s="22"/>
      <c r="CD3" s="22"/>
      <c r="CE3" s="22"/>
      <c r="CF3" s="22"/>
      <c r="CG3" s="22"/>
      <c r="CH3" s="29"/>
      <c r="CI3" s="30">
        <v>2025</v>
      </c>
      <c r="CJ3" s="30"/>
      <c r="CK3" s="30"/>
      <c r="CL3" s="30"/>
      <c r="CM3" s="30"/>
      <c r="CN3" s="30"/>
      <c r="CO3" s="30"/>
      <c r="CP3" s="30"/>
      <c r="CQ3" s="30"/>
      <c r="CR3" s="30"/>
      <c r="CS3" s="30"/>
      <c r="CT3" s="29"/>
      <c r="CU3" s="31">
        <v>2026</v>
      </c>
      <c r="CV3" s="31"/>
      <c r="CW3" s="31"/>
      <c r="CX3" s="31"/>
      <c r="CY3" s="31"/>
      <c r="CZ3" s="31"/>
      <c r="DA3" s="31"/>
      <c r="DB3" s="31"/>
      <c r="DC3" s="31"/>
      <c r="DD3" s="31"/>
      <c r="DE3" s="31"/>
      <c r="DF3" s="31"/>
      <c r="DG3" s="31"/>
      <c r="DH3" s="31"/>
      <c r="DI3" s="31"/>
      <c r="DJ3" s="31"/>
      <c r="DK3" s="31"/>
      <c r="DL3" s="31"/>
      <c r="DM3" s="31"/>
      <c r="DN3" s="29"/>
      <c r="DO3" s="32">
        <v>2027</v>
      </c>
      <c r="DP3" s="32"/>
      <c r="DQ3" s="32"/>
      <c r="DR3" s="32"/>
      <c r="DS3" s="32"/>
      <c r="DT3" s="32"/>
      <c r="DU3" s="32"/>
      <c r="DV3" s="32"/>
      <c r="DW3" s="32"/>
      <c r="DX3" s="32"/>
      <c r="DY3" s="32"/>
      <c r="DZ3" s="32"/>
      <c r="EA3" s="32"/>
      <c r="EB3" s="32"/>
      <c r="EC3" s="32"/>
      <c r="ED3" s="32"/>
      <c r="EE3" s="32"/>
      <c r="EF3" s="32"/>
      <c r="EG3" s="32"/>
      <c r="EH3" s="29"/>
      <c r="EI3" s="31">
        <v>2028</v>
      </c>
      <c r="EJ3" s="31"/>
      <c r="EK3" s="31"/>
      <c r="EL3" s="31"/>
      <c r="EM3" s="31"/>
      <c r="EN3" s="31"/>
      <c r="EO3" s="31"/>
      <c r="EP3" s="31"/>
      <c r="EQ3" s="31"/>
      <c r="ER3" s="31"/>
      <c r="ES3" s="31"/>
      <c r="ET3" s="31"/>
      <c r="EU3" s="31"/>
      <c r="EV3" s="31"/>
      <c r="EW3" s="31"/>
      <c r="EX3" s="31"/>
      <c r="EY3" s="31"/>
      <c r="EZ3" s="31"/>
      <c r="FA3" s="31"/>
      <c r="FB3" s="29"/>
      <c r="FC3" s="32">
        <v>2029</v>
      </c>
      <c r="FD3" s="32"/>
      <c r="FE3" s="32"/>
      <c r="FF3" s="32"/>
      <c r="FG3" s="32"/>
      <c r="FH3" s="32"/>
      <c r="FI3" s="32"/>
      <c r="FJ3" s="32"/>
      <c r="FK3" s="32"/>
      <c r="FL3" s="32"/>
      <c r="FM3" s="32"/>
      <c r="FN3" s="32"/>
      <c r="FO3" s="32"/>
      <c r="FP3" s="32"/>
      <c r="FQ3" s="32"/>
      <c r="FR3" s="32"/>
      <c r="FS3" s="32"/>
      <c r="FT3" s="32"/>
      <c r="FU3" s="32"/>
      <c r="FV3" s="29"/>
      <c r="FW3" s="31">
        <v>2030</v>
      </c>
      <c r="FX3" s="31"/>
      <c r="FY3" s="31"/>
      <c r="FZ3" s="31"/>
      <c r="GA3" s="31"/>
      <c r="GB3" s="31"/>
      <c r="GC3" s="31"/>
      <c r="GD3" s="31"/>
      <c r="GE3" s="31"/>
      <c r="GF3" s="31"/>
      <c r="GG3" s="31"/>
      <c r="GH3" s="31"/>
      <c r="GI3" s="31"/>
      <c r="GJ3" s="31"/>
      <c r="GK3" s="31"/>
      <c r="GL3" s="31"/>
      <c r="GM3" s="31"/>
      <c r="GN3" s="31"/>
      <c r="GO3" s="31"/>
      <c r="GP3" s="29"/>
      <c r="GQ3" s="32">
        <v>2031</v>
      </c>
      <c r="GR3" s="32"/>
      <c r="GS3" s="32"/>
      <c r="GT3" s="32"/>
      <c r="GU3" s="32"/>
      <c r="GV3" s="32"/>
      <c r="GW3" s="32"/>
      <c r="GX3" s="32"/>
      <c r="GY3" s="32"/>
      <c r="GZ3" s="32"/>
      <c r="HA3" s="32"/>
      <c r="HB3" s="32"/>
      <c r="HC3" s="32"/>
      <c r="HD3" s="32"/>
      <c r="HE3" s="32"/>
      <c r="HF3" s="32"/>
      <c r="HG3" s="32"/>
      <c r="HH3" s="32"/>
      <c r="HI3" s="32"/>
      <c r="HJ3" s="29"/>
      <c r="HK3" s="31">
        <v>2032</v>
      </c>
      <c r="HL3" s="31"/>
      <c r="HM3" s="31"/>
      <c r="HN3" s="31"/>
      <c r="HO3" s="31"/>
      <c r="HP3" s="31"/>
      <c r="HQ3" s="31"/>
      <c r="HR3" s="31"/>
      <c r="HS3" s="31"/>
      <c r="HT3" s="31"/>
      <c r="HU3" s="31"/>
      <c r="HV3" s="31"/>
      <c r="HW3" s="31"/>
      <c r="HX3" s="31"/>
      <c r="HY3" s="31"/>
      <c r="HZ3" s="31"/>
      <c r="IA3" s="31"/>
      <c r="IB3" s="31"/>
      <c r="IC3" s="31"/>
      <c r="ID3" s="29"/>
      <c r="IE3" s="32">
        <v>2033</v>
      </c>
      <c r="IF3" s="32"/>
      <c r="IG3" s="32"/>
      <c r="IH3" s="32"/>
      <c r="II3" s="32"/>
      <c r="IJ3" s="32"/>
      <c r="IK3" s="32"/>
      <c r="IL3" s="32"/>
      <c r="IM3" s="32"/>
      <c r="IN3" s="32"/>
      <c r="IO3" s="32"/>
      <c r="IP3" s="32"/>
      <c r="IQ3" s="32"/>
      <c r="IR3" s="32"/>
      <c r="IS3" s="32"/>
      <c r="IT3" s="32"/>
      <c r="IU3" s="32"/>
      <c r="IV3" s="32"/>
      <c r="IW3" s="32"/>
      <c r="IX3" s="29"/>
      <c r="IY3" s="31">
        <v>2034</v>
      </c>
      <c r="IZ3" s="31"/>
      <c r="JA3" s="31"/>
      <c r="JB3" s="31"/>
      <c r="JC3" s="31"/>
      <c r="JD3" s="31"/>
      <c r="JE3" s="31"/>
      <c r="JF3" s="31"/>
      <c r="JG3" s="31"/>
      <c r="JH3" s="31"/>
      <c r="JI3" s="31"/>
      <c r="JJ3" s="31"/>
      <c r="JK3" s="31"/>
      <c r="JL3" s="31"/>
      <c r="JM3" s="31"/>
      <c r="JN3" s="31"/>
      <c r="JO3" s="31"/>
      <c r="JP3" s="31"/>
      <c r="JQ3" s="31"/>
      <c r="JR3" s="29"/>
      <c r="JS3" s="32">
        <v>2035</v>
      </c>
      <c r="JT3" s="32"/>
      <c r="JU3" s="32"/>
      <c r="JV3" s="32"/>
      <c r="JW3" s="32"/>
      <c r="JX3" s="32"/>
      <c r="JY3" s="32"/>
      <c r="JZ3" s="32"/>
      <c r="KA3" s="32"/>
      <c r="KB3" s="32"/>
      <c r="KC3" s="32"/>
      <c r="KD3" s="32"/>
      <c r="KE3" s="32"/>
      <c r="KF3" s="32"/>
      <c r="KG3" s="32"/>
      <c r="KH3" s="32"/>
      <c r="KI3" s="32"/>
      <c r="KJ3" s="32"/>
      <c r="KK3" s="32"/>
      <c r="KL3" s="29"/>
      <c r="KM3" s="31">
        <v>2036</v>
      </c>
      <c r="KN3" s="31"/>
      <c r="KO3" s="31"/>
      <c r="KP3" s="31"/>
      <c r="KQ3" s="31"/>
      <c r="KR3" s="31"/>
      <c r="KS3" s="31"/>
      <c r="KT3" s="31"/>
      <c r="KU3" s="31"/>
      <c r="KV3" s="31"/>
      <c r="KW3" s="31"/>
      <c r="KX3" s="31"/>
      <c r="KY3" s="31"/>
      <c r="KZ3" s="31"/>
      <c r="LA3" s="31"/>
      <c r="LB3" s="31"/>
      <c r="LC3" s="31"/>
      <c r="LD3" s="31"/>
      <c r="LE3" s="31"/>
    </row>
    <row r="4">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t="s">
        <v>316</v>
      </c>
      <c r="AS4" s="22" t="s">
        <v>317</v>
      </c>
      <c r="AT4" s="22" t="s">
        <v>318</v>
      </c>
      <c r="AU4" s="22" t="s">
        <v>319</v>
      </c>
      <c r="AV4" s="22" t="s">
        <v>320</v>
      </c>
      <c r="AW4" s="22" t="s">
        <v>321</v>
      </c>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9"/>
      <c r="CI4" s="22" t="s">
        <v>322</v>
      </c>
      <c r="CJ4" s="22" t="s">
        <v>323</v>
      </c>
      <c r="CK4" s="22" t="s">
        <v>324</v>
      </c>
      <c r="CL4" s="22" t="s">
        <v>325</v>
      </c>
      <c r="CM4" s="22" t="s">
        <v>326</v>
      </c>
      <c r="CN4" s="22" t="s">
        <v>327</v>
      </c>
      <c r="CO4" s="22" t="s">
        <v>328</v>
      </c>
      <c r="CP4" s="22" t="s">
        <v>329</v>
      </c>
      <c r="CQ4" s="22" t="s">
        <v>330</v>
      </c>
      <c r="CR4" s="22" t="s">
        <v>331</v>
      </c>
      <c r="CS4" s="22" t="s">
        <v>96</v>
      </c>
      <c r="CT4" s="29"/>
      <c r="CU4" s="22" t="s">
        <v>322</v>
      </c>
      <c r="CV4" s="22" t="s">
        <v>323</v>
      </c>
      <c r="CW4" s="22" t="s">
        <v>324</v>
      </c>
      <c r="CX4" s="22" t="s">
        <v>325</v>
      </c>
      <c r="CY4" s="22" t="s">
        <v>326</v>
      </c>
      <c r="CZ4" s="22" t="s">
        <v>327</v>
      </c>
      <c r="DA4" s="22" t="s">
        <v>328</v>
      </c>
      <c r="DB4" s="22" t="s">
        <v>329</v>
      </c>
      <c r="DC4" s="22" t="s">
        <v>330</v>
      </c>
      <c r="DD4" s="22" t="s">
        <v>331</v>
      </c>
      <c r="DE4" s="22" t="s">
        <v>96</v>
      </c>
      <c r="DF4" s="22" t="s">
        <v>332</v>
      </c>
      <c r="DG4" s="22" t="s">
        <v>333</v>
      </c>
      <c r="DH4" s="22" t="s">
        <v>334</v>
      </c>
      <c r="DI4" s="22" t="s">
        <v>335</v>
      </c>
      <c r="DJ4" s="22" t="s">
        <v>336</v>
      </c>
      <c r="DK4" s="22" t="s">
        <v>337</v>
      </c>
      <c r="DL4" s="22" t="s">
        <v>338</v>
      </c>
      <c r="DM4" s="22" t="s">
        <v>339</v>
      </c>
      <c r="DN4" s="29"/>
      <c r="DO4" s="22" t="s">
        <v>322</v>
      </c>
      <c r="DP4" s="22" t="s">
        <v>323</v>
      </c>
      <c r="DQ4" s="22" t="s">
        <v>324</v>
      </c>
      <c r="DR4" s="22" t="s">
        <v>325</v>
      </c>
      <c r="DS4" s="22" t="s">
        <v>326</v>
      </c>
      <c r="DT4" s="22" t="s">
        <v>327</v>
      </c>
      <c r="DU4" s="22" t="s">
        <v>328</v>
      </c>
      <c r="DV4" s="22" t="s">
        <v>329</v>
      </c>
      <c r="DW4" s="22" t="s">
        <v>330</v>
      </c>
      <c r="DX4" s="22" t="s">
        <v>331</v>
      </c>
      <c r="DY4" s="22" t="s">
        <v>96</v>
      </c>
      <c r="DZ4" s="22" t="s">
        <v>332</v>
      </c>
      <c r="EA4" s="22" t="s">
        <v>333</v>
      </c>
      <c r="EB4" s="22" t="s">
        <v>334</v>
      </c>
      <c r="EC4" s="22" t="s">
        <v>335</v>
      </c>
      <c r="ED4" s="22" t="s">
        <v>336</v>
      </c>
      <c r="EE4" s="22" t="s">
        <v>337</v>
      </c>
      <c r="EF4" s="22" t="s">
        <v>338</v>
      </c>
      <c r="EG4" s="22" t="s">
        <v>339</v>
      </c>
      <c r="EH4" s="29"/>
      <c r="EI4" s="22" t="s">
        <v>322</v>
      </c>
      <c r="EJ4" s="22" t="s">
        <v>323</v>
      </c>
      <c r="EK4" s="22" t="s">
        <v>324</v>
      </c>
      <c r="EL4" s="22" t="s">
        <v>325</v>
      </c>
      <c r="EM4" s="22" t="s">
        <v>326</v>
      </c>
      <c r="EN4" s="22" t="s">
        <v>327</v>
      </c>
      <c r="EO4" s="22" t="s">
        <v>328</v>
      </c>
      <c r="EP4" s="22" t="s">
        <v>329</v>
      </c>
      <c r="EQ4" s="22" t="s">
        <v>330</v>
      </c>
      <c r="ER4" s="22" t="s">
        <v>331</v>
      </c>
      <c r="ES4" s="22" t="s">
        <v>96</v>
      </c>
      <c r="ET4" s="22" t="s">
        <v>332</v>
      </c>
      <c r="EU4" s="22" t="s">
        <v>333</v>
      </c>
      <c r="EV4" s="22" t="s">
        <v>334</v>
      </c>
      <c r="EW4" s="22" t="s">
        <v>335</v>
      </c>
      <c r="EX4" s="22" t="s">
        <v>336</v>
      </c>
      <c r="EY4" s="22" t="s">
        <v>337</v>
      </c>
      <c r="EZ4" s="22" t="s">
        <v>338</v>
      </c>
      <c r="FA4" s="22" t="s">
        <v>339</v>
      </c>
      <c r="FB4" s="29"/>
      <c r="FC4" s="22" t="s">
        <v>322</v>
      </c>
      <c r="FD4" s="22" t="s">
        <v>323</v>
      </c>
      <c r="FE4" s="22" t="s">
        <v>324</v>
      </c>
      <c r="FF4" s="22" t="s">
        <v>325</v>
      </c>
      <c r="FG4" s="22" t="s">
        <v>326</v>
      </c>
      <c r="FH4" s="22" t="s">
        <v>327</v>
      </c>
      <c r="FI4" s="22" t="s">
        <v>328</v>
      </c>
      <c r="FJ4" s="22" t="s">
        <v>329</v>
      </c>
      <c r="FK4" s="22" t="s">
        <v>330</v>
      </c>
      <c r="FL4" s="22" t="s">
        <v>331</v>
      </c>
      <c r="FM4" s="22" t="s">
        <v>96</v>
      </c>
      <c r="FN4" s="22" t="s">
        <v>332</v>
      </c>
      <c r="FO4" s="22" t="s">
        <v>333</v>
      </c>
      <c r="FP4" s="22" t="s">
        <v>334</v>
      </c>
      <c r="FQ4" s="22" t="s">
        <v>335</v>
      </c>
      <c r="FR4" s="22" t="s">
        <v>336</v>
      </c>
      <c r="FS4" s="22" t="s">
        <v>337</v>
      </c>
      <c r="FT4" s="22" t="s">
        <v>338</v>
      </c>
      <c r="FU4" s="22" t="s">
        <v>339</v>
      </c>
      <c r="FV4" s="29"/>
      <c r="FW4" s="22" t="s">
        <v>322</v>
      </c>
      <c r="FX4" s="22" t="s">
        <v>323</v>
      </c>
      <c r="FY4" s="22" t="s">
        <v>324</v>
      </c>
      <c r="FZ4" s="22" t="s">
        <v>325</v>
      </c>
      <c r="GA4" s="22" t="s">
        <v>326</v>
      </c>
      <c r="GB4" s="22" t="s">
        <v>327</v>
      </c>
      <c r="GC4" s="22" t="s">
        <v>328</v>
      </c>
      <c r="GD4" s="22" t="s">
        <v>329</v>
      </c>
      <c r="GE4" s="22" t="s">
        <v>330</v>
      </c>
      <c r="GF4" s="22" t="s">
        <v>331</v>
      </c>
      <c r="GG4" s="22" t="s">
        <v>96</v>
      </c>
      <c r="GH4" s="22" t="s">
        <v>332</v>
      </c>
      <c r="GI4" s="22" t="s">
        <v>333</v>
      </c>
      <c r="GJ4" s="22" t="s">
        <v>334</v>
      </c>
      <c r="GK4" s="22" t="s">
        <v>335</v>
      </c>
      <c r="GL4" s="22" t="s">
        <v>336</v>
      </c>
      <c r="GM4" s="22" t="s">
        <v>337</v>
      </c>
      <c r="GN4" s="22" t="s">
        <v>338</v>
      </c>
      <c r="GO4" s="22" t="s">
        <v>339</v>
      </c>
      <c r="GP4" s="29"/>
      <c r="GQ4" s="22" t="s">
        <v>322</v>
      </c>
      <c r="GR4" s="22" t="s">
        <v>323</v>
      </c>
      <c r="GS4" s="22" t="s">
        <v>324</v>
      </c>
      <c r="GT4" s="22" t="s">
        <v>325</v>
      </c>
      <c r="GU4" s="22" t="s">
        <v>326</v>
      </c>
      <c r="GV4" s="22" t="s">
        <v>327</v>
      </c>
      <c r="GW4" s="22" t="s">
        <v>328</v>
      </c>
      <c r="GX4" s="22" t="s">
        <v>329</v>
      </c>
      <c r="GY4" s="22" t="s">
        <v>330</v>
      </c>
      <c r="GZ4" s="22" t="s">
        <v>331</v>
      </c>
      <c r="HA4" s="22" t="s">
        <v>96</v>
      </c>
      <c r="HB4" s="22" t="s">
        <v>332</v>
      </c>
      <c r="HC4" s="22" t="s">
        <v>333</v>
      </c>
      <c r="HD4" s="22" t="s">
        <v>334</v>
      </c>
      <c r="HE4" s="22" t="s">
        <v>335</v>
      </c>
      <c r="HF4" s="22" t="s">
        <v>336</v>
      </c>
      <c r="HG4" s="22" t="s">
        <v>337</v>
      </c>
      <c r="HH4" s="22" t="s">
        <v>338</v>
      </c>
      <c r="HI4" s="22" t="s">
        <v>339</v>
      </c>
      <c r="HJ4" s="29"/>
      <c r="HK4" s="22" t="s">
        <v>322</v>
      </c>
      <c r="HL4" s="22" t="s">
        <v>323</v>
      </c>
      <c r="HM4" s="22" t="s">
        <v>324</v>
      </c>
      <c r="HN4" s="22" t="s">
        <v>325</v>
      </c>
      <c r="HO4" s="22" t="s">
        <v>326</v>
      </c>
      <c r="HP4" s="22" t="s">
        <v>327</v>
      </c>
      <c r="HQ4" s="22" t="s">
        <v>328</v>
      </c>
      <c r="HR4" s="22" t="s">
        <v>329</v>
      </c>
      <c r="HS4" s="22" t="s">
        <v>330</v>
      </c>
      <c r="HT4" s="22" t="s">
        <v>331</v>
      </c>
      <c r="HU4" s="22" t="s">
        <v>96</v>
      </c>
      <c r="HV4" s="22" t="s">
        <v>332</v>
      </c>
      <c r="HW4" s="22" t="s">
        <v>333</v>
      </c>
      <c r="HX4" s="22" t="s">
        <v>334</v>
      </c>
      <c r="HY4" s="22" t="s">
        <v>335</v>
      </c>
      <c r="HZ4" s="22" t="s">
        <v>336</v>
      </c>
      <c r="IA4" s="22" t="s">
        <v>337</v>
      </c>
      <c r="IB4" s="22" t="s">
        <v>338</v>
      </c>
      <c r="IC4" s="22" t="s">
        <v>339</v>
      </c>
      <c r="ID4" s="29"/>
      <c r="IE4" s="22" t="s">
        <v>322</v>
      </c>
      <c r="IF4" s="22" t="s">
        <v>323</v>
      </c>
      <c r="IG4" s="22" t="s">
        <v>324</v>
      </c>
      <c r="IH4" s="22" t="s">
        <v>325</v>
      </c>
      <c r="II4" s="22" t="s">
        <v>326</v>
      </c>
      <c r="IJ4" s="22" t="s">
        <v>327</v>
      </c>
      <c r="IK4" s="22" t="s">
        <v>328</v>
      </c>
      <c r="IL4" s="22" t="s">
        <v>329</v>
      </c>
      <c r="IM4" s="22" t="s">
        <v>330</v>
      </c>
      <c r="IN4" s="22" t="s">
        <v>331</v>
      </c>
      <c r="IO4" s="22" t="s">
        <v>96</v>
      </c>
      <c r="IP4" s="22" t="s">
        <v>332</v>
      </c>
      <c r="IQ4" s="22" t="s">
        <v>333</v>
      </c>
      <c r="IR4" s="22" t="s">
        <v>334</v>
      </c>
      <c r="IS4" s="22" t="s">
        <v>335</v>
      </c>
      <c r="IT4" s="22" t="s">
        <v>336</v>
      </c>
      <c r="IU4" s="22" t="s">
        <v>337</v>
      </c>
      <c r="IV4" s="22" t="s">
        <v>338</v>
      </c>
      <c r="IW4" s="22" t="s">
        <v>339</v>
      </c>
      <c r="IX4" s="29"/>
      <c r="IY4" s="22" t="s">
        <v>322</v>
      </c>
      <c r="IZ4" s="22" t="s">
        <v>323</v>
      </c>
      <c r="JA4" s="22" t="s">
        <v>324</v>
      </c>
      <c r="JB4" s="22" t="s">
        <v>325</v>
      </c>
      <c r="JC4" s="22" t="s">
        <v>326</v>
      </c>
      <c r="JD4" s="22" t="s">
        <v>327</v>
      </c>
      <c r="JE4" s="22" t="s">
        <v>328</v>
      </c>
      <c r="JF4" s="22" t="s">
        <v>329</v>
      </c>
      <c r="JG4" s="22" t="s">
        <v>330</v>
      </c>
      <c r="JH4" s="22" t="s">
        <v>331</v>
      </c>
      <c r="JI4" s="22" t="s">
        <v>96</v>
      </c>
      <c r="JJ4" s="22" t="s">
        <v>332</v>
      </c>
      <c r="JK4" s="22" t="s">
        <v>333</v>
      </c>
      <c r="JL4" s="22" t="s">
        <v>334</v>
      </c>
      <c r="JM4" s="22" t="s">
        <v>335</v>
      </c>
      <c r="JN4" s="22" t="s">
        <v>336</v>
      </c>
      <c r="JO4" s="22" t="s">
        <v>337</v>
      </c>
      <c r="JP4" s="22" t="s">
        <v>338</v>
      </c>
      <c r="JQ4" s="22" t="s">
        <v>339</v>
      </c>
      <c r="JR4" s="29"/>
      <c r="JS4" s="22" t="s">
        <v>322</v>
      </c>
      <c r="JT4" s="22" t="s">
        <v>323</v>
      </c>
      <c r="JU4" s="22" t="s">
        <v>324</v>
      </c>
      <c r="JV4" s="22" t="s">
        <v>325</v>
      </c>
      <c r="JW4" s="22" t="s">
        <v>326</v>
      </c>
      <c r="JX4" s="22" t="s">
        <v>327</v>
      </c>
      <c r="JY4" s="22" t="s">
        <v>328</v>
      </c>
      <c r="JZ4" s="22" t="s">
        <v>329</v>
      </c>
      <c r="KA4" s="22" t="s">
        <v>330</v>
      </c>
      <c r="KB4" s="22" t="s">
        <v>331</v>
      </c>
      <c r="KC4" s="22" t="s">
        <v>96</v>
      </c>
      <c r="KD4" s="22" t="s">
        <v>332</v>
      </c>
      <c r="KE4" s="22" t="s">
        <v>333</v>
      </c>
      <c r="KF4" s="22" t="s">
        <v>334</v>
      </c>
      <c r="KG4" s="22" t="s">
        <v>335</v>
      </c>
      <c r="KH4" s="22" t="s">
        <v>336</v>
      </c>
      <c r="KI4" s="22" t="s">
        <v>337</v>
      </c>
      <c r="KJ4" s="22" t="s">
        <v>338</v>
      </c>
      <c r="KK4" s="22" t="s">
        <v>339</v>
      </c>
      <c r="KL4" s="29"/>
      <c r="KM4" s="22" t="s">
        <v>322</v>
      </c>
      <c r="KN4" s="22" t="s">
        <v>323</v>
      </c>
      <c r="KO4" s="22" t="s">
        <v>324</v>
      </c>
      <c r="KP4" s="22" t="s">
        <v>325</v>
      </c>
      <c r="KQ4" s="22" t="s">
        <v>326</v>
      </c>
      <c r="KR4" s="22" t="s">
        <v>327</v>
      </c>
      <c r="KS4" s="22" t="s">
        <v>328</v>
      </c>
      <c r="KT4" s="22" t="s">
        <v>329</v>
      </c>
      <c r="KU4" s="22" t="s">
        <v>330</v>
      </c>
      <c r="KV4" s="22" t="s">
        <v>331</v>
      </c>
      <c r="KW4" s="22" t="s">
        <v>96</v>
      </c>
      <c r="KX4" s="22" t="s">
        <v>332</v>
      </c>
      <c r="KY4" s="22" t="s">
        <v>333</v>
      </c>
      <c r="KZ4" s="22" t="s">
        <v>334</v>
      </c>
      <c r="LA4" s="22" t="s">
        <v>335</v>
      </c>
      <c r="LB4" s="22" t="s">
        <v>336</v>
      </c>
      <c r="LC4" s="22" t="s">
        <v>337</v>
      </c>
      <c r="LD4" s="22" t="s">
        <v>338</v>
      </c>
      <c r="LE4" s="22" t="s">
        <v>339</v>
      </c>
    </row>
    <row r="5">
      <c r="AX5" s="16" t="s">
        <v>340</v>
      </c>
      <c r="AY5" s="16" t="s">
        <v>336</v>
      </c>
      <c r="AZ5" s="16" t="s">
        <v>340</v>
      </c>
      <c r="BA5" s="16" t="s">
        <v>336</v>
      </c>
      <c r="BB5" s="16" t="s">
        <v>340</v>
      </c>
      <c r="BC5" s="16" t="s">
        <v>336</v>
      </c>
      <c r="BD5" s="16" t="s">
        <v>340</v>
      </c>
      <c r="BE5" s="16" t="s">
        <v>336</v>
      </c>
      <c r="BF5" s="16" t="s">
        <v>340</v>
      </c>
      <c r="BG5" s="16" t="s">
        <v>336</v>
      </c>
      <c r="BH5" s="16" t="s">
        <v>340</v>
      </c>
      <c r="BI5" s="16" t="s">
        <v>336</v>
      </c>
      <c r="BJ5" s="16" t="s">
        <v>340</v>
      </c>
      <c r="BK5" s="16" t="s">
        <v>336</v>
      </c>
      <c r="BL5" s="16" t="s">
        <v>340</v>
      </c>
      <c r="BM5" s="16" t="s">
        <v>336</v>
      </c>
      <c r="BN5" s="16" t="s">
        <v>340</v>
      </c>
      <c r="BO5" s="16" t="s">
        <v>336</v>
      </c>
      <c r="BP5" s="16" t="s">
        <v>340</v>
      </c>
      <c r="BQ5" s="16" t="s">
        <v>336</v>
      </c>
      <c r="BR5" s="16" t="s">
        <v>340</v>
      </c>
      <c r="BS5" s="16" t="s">
        <v>336</v>
      </c>
      <c r="BV5" s="16">
        <v>2</v>
      </c>
      <c r="BW5" s="16">
        <v>2026</v>
      </c>
      <c r="BX5" s="16">
        <v>2027</v>
      </c>
      <c r="BY5" s="16">
        <v>2028</v>
      </c>
      <c r="BZ5" s="16">
        <v>2029</v>
      </c>
      <c r="CA5" s="16">
        <v>2030</v>
      </c>
      <c r="CB5" s="16">
        <v>2031</v>
      </c>
      <c r="CC5" s="16">
        <v>2032</v>
      </c>
      <c r="CD5" s="16">
        <v>2033</v>
      </c>
      <c r="CE5" s="16">
        <v>2034</v>
      </c>
      <c r="CF5" s="16">
        <v>2035</v>
      </c>
      <c r="CG5" s="16">
        <v>2036</v>
      </c>
    </row>
    <row r="6">
      <c r="A6" s="35" t="s">
        <v>341</v>
      </c>
      <c r="B6" s="36" t="s">
        <v>342</v>
      </c>
      <c r="C6" s="35" t="s">
        <v>343</v>
      </c>
      <c r="D6" s="36">
        <v>30015</v>
      </c>
      <c r="E6" s="36" t="s">
        <v>344</v>
      </c>
      <c r="F6" s="35" t="s">
        <v>345</v>
      </c>
      <c r="G6" s="35" t="s">
        <v>40</v>
      </c>
      <c r="H6" s="36" t="s">
        <v>346</v>
      </c>
      <c r="I6" s="35" t="s">
        <v>347</v>
      </c>
      <c r="J6" s="35"/>
      <c r="K6" s="35" t="s">
        <v>348</v>
      </c>
      <c r="L6" s="35" t="s">
        <v>349</v>
      </c>
      <c r="M6" s="35" t="s">
        <v>350</v>
      </c>
      <c r="N6" s="35" t="s">
        <v>351</v>
      </c>
      <c r="O6" s="37">
        <v>21</v>
      </c>
      <c r="P6" s="37">
        <v>342.3</v>
      </c>
      <c r="Q6" s="36" t="s">
        <v>15</v>
      </c>
      <c r="R6" s="35" t="s">
        <v>352</v>
      </c>
      <c r="S6" s="36" t="s">
        <v>26</v>
      </c>
      <c r="T6" s="35" t="s">
        <v>353</v>
      </c>
      <c r="U6" s="36" t="s">
        <v>15</v>
      </c>
      <c r="V6" s="36" t="s">
        <v>15</v>
      </c>
      <c r="W6" s="35" t="s">
        <v>62</v>
      </c>
      <c r="X6" s="36" t="s">
        <v>15</v>
      </c>
      <c r="Y6" s="36" t="s">
        <v>17</v>
      </c>
      <c r="Z6" s="38" t="s">
        <v>39</v>
      </c>
      <c r="AA6" s="36" t="s">
        <v>15</v>
      </c>
      <c r="AB6" s="35" t="s">
        <v>354</v>
      </c>
      <c r="AC6" s="36">
        <v>8</v>
      </c>
      <c r="AD6" s="36" t="s">
        <v>30</v>
      </c>
      <c r="AE6" s="36" t="s">
        <v>31</v>
      </c>
      <c r="AF6" s="36">
        <v>1924</v>
      </c>
      <c r="AG6" s="36">
        <v>103</v>
      </c>
      <c r="AH6" s="37">
        <v>10</v>
      </c>
      <c r="AI6" s="37">
        <v>117</v>
      </c>
      <c r="AJ6" s="37">
        <v>99</v>
      </c>
      <c r="AK6" s="36" t="s">
        <v>355</v>
      </c>
      <c r="AL6" s="37">
        <v>43</v>
      </c>
      <c r="AM6" s="35" t="s">
        <v>15</v>
      </c>
      <c r="AN6" s="35" t="s">
        <v>47</v>
      </c>
      <c r="AO6" s="36" t="s">
        <v>356</v>
      </c>
      <c r="AP6" s="36" t="s">
        <v>15</v>
      </c>
      <c r="AQ6" s="35" t="s">
        <v>357</v>
      </c>
      <c r="AR6" s="36" t="s">
        <v>15</v>
      </c>
      <c r="AS6" s="36" t="s">
        <v>15</v>
      </c>
      <c r="AT6" s="36" t="s">
        <v>17</v>
      </c>
      <c r="AU6" s="36" t="s">
        <v>15</v>
      </c>
      <c r="AV6" s="36" t="s">
        <v>17</v>
      </c>
      <c r="AW6" s="36" t="s">
        <v>15</v>
      </c>
      <c r="AX6" s="41" t="s">
        <v>358</v>
      </c>
      <c r="AY6" s="42">
        <v>900000</v>
      </c>
      <c r="AZ6" s="41" t="s">
        <v>359</v>
      </c>
      <c r="BA6" s="42">
        <v>0</v>
      </c>
      <c r="BB6" s="41" t="s">
        <v>359</v>
      </c>
      <c r="BC6" s="42">
        <v>0</v>
      </c>
      <c r="BD6" s="41" t="s">
        <v>359</v>
      </c>
      <c r="BE6" s="42">
        <v>0</v>
      </c>
      <c r="BF6" s="41" t="s">
        <v>359</v>
      </c>
      <c r="BG6" s="42">
        <v>0</v>
      </c>
      <c r="BH6" s="41" t="s">
        <v>359</v>
      </c>
      <c r="BI6" s="42">
        <v>0</v>
      </c>
      <c r="BJ6" s="41" t="s">
        <v>359</v>
      </c>
      <c r="BK6" s="42">
        <v>0</v>
      </c>
      <c r="BL6" s="41" t="s">
        <v>359</v>
      </c>
      <c r="BM6" s="42">
        <v>0</v>
      </c>
      <c r="BN6" s="41" t="s">
        <v>359</v>
      </c>
      <c r="BO6" s="42">
        <v>0</v>
      </c>
      <c r="BP6" s="41" t="s">
        <v>359</v>
      </c>
      <c r="BQ6" s="42">
        <v>0</v>
      </c>
      <c r="BR6" s="41" t="s">
        <v>359</v>
      </c>
      <c r="BS6" s="42">
        <v>0</v>
      </c>
      <c r="BT6" s="36" t="s">
        <v>360</v>
      </c>
      <c r="BU6" s="36" t="s">
        <v>359</v>
      </c>
      <c r="BV6" s="35"/>
      <c r="BW6" s="35" t="s">
        <v>361</v>
      </c>
      <c r="BX6" s="35" t="s">
        <v>359</v>
      </c>
      <c r="BY6" s="35" t="s">
        <v>359</v>
      </c>
      <c r="BZ6" s="35" t="s">
        <v>359</v>
      </c>
      <c r="CA6" s="35" t="s">
        <v>359</v>
      </c>
      <c r="CB6" s="35" t="s">
        <v>359</v>
      </c>
      <c r="CC6" s="35" t="s">
        <v>359</v>
      </c>
      <c r="CD6" s="35" t="s">
        <v>359</v>
      </c>
      <c r="CE6" s="35" t="s">
        <v>359</v>
      </c>
      <c r="CF6" s="35" t="s">
        <v>359</v>
      </c>
      <c r="CG6" s="35" t="s">
        <v>359</v>
      </c>
      <c r="CI6" s="47">
        <v>4.723999999999999</v>
      </c>
      <c r="CJ6" s="47">
        <v>5.827</v>
      </c>
      <c r="CK6" s="47">
        <v>4.4479999999999995</v>
      </c>
      <c r="CL6" s="36" t="s">
        <v>15</v>
      </c>
      <c r="CM6" s="36">
        <v>4</v>
      </c>
      <c r="CN6" s="36">
        <v>4</v>
      </c>
      <c r="CO6" s="36">
        <v>12</v>
      </c>
      <c r="CP6" s="36" t="s">
        <v>15</v>
      </c>
      <c r="CQ6" s="48">
        <v>4.4479999999999995</v>
      </c>
      <c r="CR6" s="36" t="s">
        <v>17</v>
      </c>
      <c r="CS6" s="36" t="s">
        <v>17</v>
      </c>
      <c r="CU6" s="47">
        <v>9.99</v>
      </c>
      <c r="CV6" s="47">
        <v>9.99</v>
      </c>
      <c r="CW6" s="47">
        <v>9.99</v>
      </c>
      <c r="CX6" s="36" t="s">
        <v>15</v>
      </c>
      <c r="CY6" s="36">
        <v>1</v>
      </c>
      <c r="CZ6" s="36">
        <v>1</v>
      </c>
      <c r="DA6" s="36">
        <v>1</v>
      </c>
      <c r="DB6" s="36" t="s">
        <v>15</v>
      </c>
      <c r="DC6" s="48">
        <v>9.99</v>
      </c>
      <c r="DD6" s="36" t="s">
        <v>15</v>
      </c>
      <c r="DE6" s="36" t="s">
        <v>17</v>
      </c>
      <c r="DF6" s="35" t="s">
        <v>362</v>
      </c>
      <c r="DG6" s="35" t="s">
        <v>363</v>
      </c>
      <c r="DH6" s="35" t="s">
        <v>136</v>
      </c>
      <c r="DI6" s="35" t="s">
        <v>110</v>
      </c>
      <c r="DJ6" s="40">
        <v>900000</v>
      </c>
      <c r="DK6" s="35" t="s">
        <v>363</v>
      </c>
      <c r="DL6" s="35" t="s">
        <v>124</v>
      </c>
      <c r="DM6" s="35" t="s">
        <v>363</v>
      </c>
      <c r="DO6" s="47">
        <v>9.847</v>
      </c>
      <c r="DP6" s="47">
        <v>9.879</v>
      </c>
      <c r="DQ6" s="47">
        <v>9.790000000000001</v>
      </c>
      <c r="DR6" s="36" t="s">
        <v>15</v>
      </c>
      <c r="DS6" s="36">
        <v>2</v>
      </c>
      <c r="DT6" s="36">
        <v>2</v>
      </c>
      <c r="DU6" s="36">
        <v>2</v>
      </c>
      <c r="DV6" s="36" t="s">
        <v>15</v>
      </c>
      <c r="DW6" s="48">
        <v>9.790000000000001</v>
      </c>
      <c r="DX6" s="36" t="s">
        <v>15</v>
      </c>
      <c r="DY6" s="36" t="s">
        <v>17</v>
      </c>
      <c r="DZ6" s="35" t="s">
        <v>362</v>
      </c>
      <c r="EA6" s="35" t="s">
        <v>363</v>
      </c>
      <c r="EB6" s="35" t="s">
        <v>363</v>
      </c>
      <c r="EC6" s="35" t="s">
        <v>118</v>
      </c>
      <c r="ED6" s="40">
        <v>0</v>
      </c>
      <c r="EE6" s="35" t="s">
        <v>363</v>
      </c>
      <c r="EF6" s="35" t="s">
        <v>117</v>
      </c>
      <c r="EG6" s="35" t="s">
        <v>363</v>
      </c>
      <c r="EI6" s="47">
        <v>9.704</v>
      </c>
      <c r="EJ6" s="47">
        <v>9.768</v>
      </c>
      <c r="EK6" s="47">
        <v>9.59</v>
      </c>
      <c r="EL6" s="36" t="s">
        <v>15</v>
      </c>
      <c r="EM6" s="36">
        <v>3</v>
      </c>
      <c r="EN6" s="36">
        <v>3</v>
      </c>
      <c r="EO6" s="36">
        <v>3</v>
      </c>
      <c r="EP6" s="36" t="s">
        <v>15</v>
      </c>
      <c r="EQ6" s="48">
        <v>9.59</v>
      </c>
      <c r="ER6" s="36" t="s">
        <v>15</v>
      </c>
      <c r="ES6" s="36" t="s">
        <v>17</v>
      </c>
      <c r="ET6" s="35" t="s">
        <v>362</v>
      </c>
      <c r="EU6" s="35" t="s">
        <v>363</v>
      </c>
      <c r="EV6" s="35" t="s">
        <v>363</v>
      </c>
      <c r="EW6" s="35" t="s">
        <v>118</v>
      </c>
      <c r="EX6" s="40">
        <v>0</v>
      </c>
      <c r="EY6" s="35" t="s">
        <v>363</v>
      </c>
      <c r="EZ6" s="35" t="s">
        <v>117</v>
      </c>
      <c r="FA6" s="35" t="s">
        <v>363</v>
      </c>
      <c r="FC6" s="47">
        <v>9.561</v>
      </c>
      <c r="FD6" s="47">
        <v>9.657</v>
      </c>
      <c r="FE6" s="47">
        <v>9.39</v>
      </c>
      <c r="FF6" s="36" t="s">
        <v>15</v>
      </c>
      <c r="FG6" s="36">
        <v>4</v>
      </c>
      <c r="FH6" s="36">
        <v>4</v>
      </c>
      <c r="FI6" s="36">
        <v>4</v>
      </c>
      <c r="FJ6" s="36" t="s">
        <v>15</v>
      </c>
      <c r="FK6" s="48">
        <v>9.39</v>
      </c>
      <c r="FL6" s="36" t="s">
        <v>15</v>
      </c>
      <c r="FM6" s="36" t="s">
        <v>17</v>
      </c>
      <c r="FN6" s="35" t="s">
        <v>362</v>
      </c>
      <c r="FO6" s="35" t="s">
        <v>363</v>
      </c>
      <c r="FP6" s="35" t="s">
        <v>363</v>
      </c>
      <c r="FQ6" s="35" t="s">
        <v>118</v>
      </c>
      <c r="FR6" s="40">
        <v>0</v>
      </c>
      <c r="FS6" s="35" t="s">
        <v>363</v>
      </c>
      <c r="FT6" s="35" t="s">
        <v>117</v>
      </c>
      <c r="FU6" s="35" t="s">
        <v>363</v>
      </c>
      <c r="FW6" s="47">
        <v>9.418000000000001</v>
      </c>
      <c r="FX6" s="47">
        <v>9.546</v>
      </c>
      <c r="FY6" s="47">
        <v>9.19</v>
      </c>
      <c r="FZ6" s="36" t="s">
        <v>15</v>
      </c>
      <c r="GA6" s="36">
        <v>5</v>
      </c>
      <c r="GB6" s="36">
        <v>5</v>
      </c>
      <c r="GC6" s="36">
        <v>5</v>
      </c>
      <c r="GD6" s="36" t="s">
        <v>15</v>
      </c>
      <c r="GE6" s="48">
        <v>9.19</v>
      </c>
      <c r="GF6" s="36" t="s">
        <v>15</v>
      </c>
      <c r="GG6" s="36" t="s">
        <v>17</v>
      </c>
      <c r="GH6" s="35" t="s">
        <v>362</v>
      </c>
      <c r="GI6" s="35" t="s">
        <v>363</v>
      </c>
      <c r="GJ6" s="35" t="s">
        <v>363</v>
      </c>
      <c r="GK6" s="35" t="s">
        <v>118</v>
      </c>
      <c r="GL6" s="40">
        <v>0</v>
      </c>
      <c r="GM6" s="35" t="s">
        <v>363</v>
      </c>
      <c r="GN6" s="35" t="s">
        <v>117</v>
      </c>
      <c r="GO6" s="35" t="s">
        <v>363</v>
      </c>
      <c r="GQ6" s="47">
        <v>9.275</v>
      </c>
      <c r="GR6" s="47">
        <v>9.435</v>
      </c>
      <c r="GS6" s="47">
        <v>8.99285</v>
      </c>
      <c r="GT6" s="36" t="s">
        <v>15</v>
      </c>
      <c r="GU6" s="36">
        <v>6</v>
      </c>
      <c r="GV6" s="36">
        <v>6</v>
      </c>
      <c r="GW6" s="36">
        <v>1</v>
      </c>
      <c r="GX6" s="36" t="s">
        <v>15</v>
      </c>
      <c r="GY6" s="48">
        <v>8.99285</v>
      </c>
      <c r="GZ6" s="36" t="s">
        <v>15</v>
      </c>
      <c r="HA6" s="36" t="s">
        <v>17</v>
      </c>
      <c r="HB6" s="35" t="s">
        <v>362</v>
      </c>
      <c r="HC6" s="35" t="s">
        <v>363</v>
      </c>
      <c r="HD6" s="35" t="s">
        <v>363</v>
      </c>
      <c r="HE6" s="35" t="s">
        <v>118</v>
      </c>
      <c r="HF6" s="40">
        <v>0</v>
      </c>
      <c r="HG6" s="35" t="s">
        <v>363</v>
      </c>
      <c r="HH6" s="35" t="s">
        <v>117</v>
      </c>
      <c r="HI6" s="35" t="s">
        <v>363</v>
      </c>
      <c r="HK6" s="47">
        <v>9.132</v>
      </c>
      <c r="HL6" s="47">
        <v>9.324</v>
      </c>
      <c r="HM6" s="47">
        <v>8.84985</v>
      </c>
      <c r="HN6" s="36" t="s">
        <v>15</v>
      </c>
      <c r="HO6" s="36">
        <v>7</v>
      </c>
      <c r="HP6" s="36">
        <v>7</v>
      </c>
      <c r="HQ6" s="36">
        <v>2</v>
      </c>
      <c r="HR6" s="36" t="s">
        <v>15</v>
      </c>
      <c r="HS6" s="48">
        <v>8.84985</v>
      </c>
      <c r="HT6" s="36" t="s">
        <v>15</v>
      </c>
      <c r="HU6" s="36" t="s">
        <v>17</v>
      </c>
      <c r="HV6" s="35" t="s">
        <v>362</v>
      </c>
      <c r="HW6" s="35" t="s">
        <v>363</v>
      </c>
      <c r="HX6" s="35" t="s">
        <v>363</v>
      </c>
      <c r="HY6" s="35" t="s">
        <v>118</v>
      </c>
      <c r="HZ6" s="40">
        <v>0</v>
      </c>
      <c r="IA6" s="35" t="s">
        <v>363</v>
      </c>
      <c r="IB6" s="35" t="s">
        <v>117</v>
      </c>
      <c r="IC6" s="35" t="s">
        <v>363</v>
      </c>
      <c r="IE6" s="47">
        <v>8.991237762237763</v>
      </c>
      <c r="IF6" s="47">
        <v>9.213000000000001</v>
      </c>
      <c r="IG6" s="47">
        <v>8.706850000000001</v>
      </c>
      <c r="IH6" s="36" t="s">
        <v>15</v>
      </c>
      <c r="II6" s="36">
        <v>1</v>
      </c>
      <c r="IJ6" s="36">
        <v>8</v>
      </c>
      <c r="IK6" s="36">
        <v>3</v>
      </c>
      <c r="IL6" s="36" t="s">
        <v>15</v>
      </c>
      <c r="IM6" s="48">
        <v>8.706850000000001</v>
      </c>
      <c r="IN6" s="36" t="s">
        <v>15</v>
      </c>
      <c r="IO6" s="36" t="s">
        <v>17</v>
      </c>
      <c r="IP6" s="35" t="s">
        <v>362</v>
      </c>
      <c r="IQ6" s="35" t="s">
        <v>363</v>
      </c>
      <c r="IR6" s="35" t="s">
        <v>363</v>
      </c>
      <c r="IS6" s="35" t="s">
        <v>118</v>
      </c>
      <c r="IT6" s="40">
        <v>0</v>
      </c>
      <c r="IU6" s="35" t="s">
        <v>363</v>
      </c>
      <c r="IV6" s="35" t="s">
        <v>117</v>
      </c>
      <c r="IW6" s="35" t="s">
        <v>363</v>
      </c>
      <c r="IY6" s="47">
        <v>8.880237762237762</v>
      </c>
      <c r="IZ6" s="47">
        <v>9.102</v>
      </c>
      <c r="JA6" s="47">
        <v>8.56385</v>
      </c>
      <c r="JB6" s="36" t="s">
        <v>15</v>
      </c>
      <c r="JC6" s="36">
        <v>2</v>
      </c>
      <c r="JD6" s="36">
        <v>9</v>
      </c>
      <c r="JE6" s="36">
        <v>4</v>
      </c>
      <c r="JF6" s="36" t="s">
        <v>15</v>
      </c>
      <c r="JG6" s="48">
        <v>8.56385</v>
      </c>
      <c r="JH6" s="36" t="s">
        <v>15</v>
      </c>
      <c r="JI6" s="36" t="s">
        <v>17</v>
      </c>
      <c r="JJ6" s="35" t="s">
        <v>362</v>
      </c>
      <c r="JK6" s="35" t="s">
        <v>363</v>
      </c>
      <c r="JL6" s="35" t="s">
        <v>363</v>
      </c>
      <c r="JM6" s="35" t="s">
        <v>118</v>
      </c>
      <c r="JN6" s="40">
        <v>0</v>
      </c>
      <c r="JO6" s="35" t="s">
        <v>363</v>
      </c>
      <c r="JP6" s="35" t="s">
        <v>117</v>
      </c>
      <c r="JQ6" s="35" t="s">
        <v>363</v>
      </c>
      <c r="JS6" s="47">
        <v>8.769237762237761</v>
      </c>
      <c r="JT6" s="47">
        <v>8.994603603603602</v>
      </c>
      <c r="JU6" s="47">
        <v>8.420850000000002</v>
      </c>
      <c r="JV6" s="36" t="s">
        <v>15</v>
      </c>
      <c r="JW6" s="36">
        <v>3</v>
      </c>
      <c r="JX6" s="36">
        <v>1</v>
      </c>
      <c r="JY6" s="36">
        <v>5</v>
      </c>
      <c r="JZ6" s="36" t="s">
        <v>15</v>
      </c>
      <c r="KA6" s="48">
        <v>8.420850000000002</v>
      </c>
      <c r="KB6" s="36" t="s">
        <v>15</v>
      </c>
      <c r="KC6" s="36" t="s">
        <v>17</v>
      </c>
      <c r="KD6" s="35" t="s">
        <v>362</v>
      </c>
      <c r="KE6" s="35" t="s">
        <v>363</v>
      </c>
      <c r="KF6" s="35" t="s">
        <v>363</v>
      </c>
      <c r="KG6" s="35" t="s">
        <v>118</v>
      </c>
      <c r="KH6" s="40">
        <v>0</v>
      </c>
      <c r="KI6" s="35" t="s">
        <v>363</v>
      </c>
      <c r="KJ6" s="35" t="s">
        <v>117</v>
      </c>
      <c r="KK6" s="35" t="s">
        <v>363</v>
      </c>
      <c r="KM6" s="47">
        <v>8.658237762237762</v>
      </c>
      <c r="KN6" s="47">
        <v>8.923603603603603</v>
      </c>
      <c r="KO6" s="47">
        <v>8.27785</v>
      </c>
      <c r="KP6" s="36" t="s">
        <v>15</v>
      </c>
      <c r="KQ6" s="36">
        <v>4</v>
      </c>
      <c r="KR6" s="36">
        <v>2</v>
      </c>
      <c r="KS6" s="36">
        <v>6</v>
      </c>
      <c r="KT6" s="36" t="s">
        <v>15</v>
      </c>
      <c r="KU6" s="48">
        <v>8.27785</v>
      </c>
      <c r="KV6" s="36" t="s">
        <v>15</v>
      </c>
      <c r="KW6" s="36" t="s">
        <v>17</v>
      </c>
      <c r="KX6" s="35" t="s">
        <v>362</v>
      </c>
      <c r="KY6" s="35" t="s">
        <v>363</v>
      </c>
      <c r="KZ6" s="35" t="s">
        <v>363</v>
      </c>
      <c r="LA6" s="35" t="s">
        <v>118</v>
      </c>
      <c r="LB6" s="40">
        <v>0</v>
      </c>
      <c r="LC6" s="35" t="s">
        <v>363</v>
      </c>
      <c r="LD6" s="35" t="s">
        <v>117</v>
      </c>
      <c r="LE6" s="35" t="s">
        <v>363</v>
      </c>
    </row>
    <row r="7">
      <c r="A7" s="0" t="s">
        <v>341</v>
      </c>
      <c r="B7" s="6" t="s">
        <v>342</v>
      </c>
      <c r="C7" s="0" t="s">
        <v>364</v>
      </c>
      <c r="D7" s="6">
        <v>30016</v>
      </c>
      <c r="E7" s="6" t="s">
        <v>344</v>
      </c>
      <c r="F7" s="0" t="s">
        <v>345</v>
      </c>
      <c r="G7" s="0" t="s">
        <v>40</v>
      </c>
      <c r="H7" s="6" t="s">
        <v>346</v>
      </c>
      <c r="I7" s="0" t="s">
        <v>347</v>
      </c>
      <c r="K7" s="0" t="s">
        <v>365</v>
      </c>
      <c r="L7" s="0" t="s">
        <v>366</v>
      </c>
      <c r="M7" s="0" t="s">
        <v>367</v>
      </c>
      <c r="N7" s="0" t="s">
        <v>351</v>
      </c>
      <c r="O7" s="33">
        <v>53</v>
      </c>
      <c r="P7" s="33">
        <v>1287.9</v>
      </c>
      <c r="Q7" s="6" t="s">
        <v>15</v>
      </c>
      <c r="R7" s="0" t="s">
        <v>352</v>
      </c>
      <c r="S7" s="6" t="s">
        <v>368</v>
      </c>
      <c r="T7" s="0" t="s">
        <v>369</v>
      </c>
      <c r="U7" s="6" t="s">
        <v>15</v>
      </c>
      <c r="V7" s="6" t="s">
        <v>15</v>
      </c>
      <c r="W7" s="0" t="s">
        <v>62</v>
      </c>
      <c r="X7" s="6" t="s">
        <v>15</v>
      </c>
      <c r="Y7" s="6" t="s">
        <v>17</v>
      </c>
      <c r="Z7" s="34" t="s">
        <v>39</v>
      </c>
      <c r="AA7" s="6" t="s">
        <v>15</v>
      </c>
      <c r="AB7" s="0" t="s">
        <v>354</v>
      </c>
      <c r="AC7" s="6">
        <v>5</v>
      </c>
      <c r="AD7" s="6" t="s">
        <v>15</v>
      </c>
      <c r="AE7" s="6" t="s">
        <v>15</v>
      </c>
      <c r="AF7" s="6">
        <v>1956</v>
      </c>
      <c r="AG7" s="6">
        <v>71</v>
      </c>
      <c r="AH7" s="33">
        <v>150</v>
      </c>
      <c r="AI7" s="33">
        <v>440</v>
      </c>
      <c r="AJ7" s="33">
        <v>1</v>
      </c>
      <c r="AK7" s="6" t="s">
        <v>370</v>
      </c>
      <c r="AL7" s="33">
        <v>53</v>
      </c>
      <c r="AM7" s="0" t="s">
        <v>15</v>
      </c>
      <c r="AN7" s="0" t="s">
        <v>359</v>
      </c>
      <c r="AO7" s="6" t="s">
        <v>36</v>
      </c>
      <c r="AP7" s="6" t="s">
        <v>15</v>
      </c>
      <c r="AQ7" s="0" t="s">
        <v>357</v>
      </c>
      <c r="AR7" s="6" t="s">
        <v>15</v>
      </c>
      <c r="AS7" s="6" t="s">
        <v>15</v>
      </c>
      <c r="AT7" s="6" t="s">
        <v>17</v>
      </c>
      <c r="AU7" s="6" t="s">
        <v>15</v>
      </c>
      <c r="AV7" s="6" t="s">
        <v>17</v>
      </c>
      <c r="AW7" s="6" t="s">
        <v>15</v>
      </c>
      <c r="AX7" s="43" t="s">
        <v>371</v>
      </c>
      <c r="AY7" s="44">
        <v>579555</v>
      </c>
      <c r="AZ7" s="43" t="s">
        <v>359</v>
      </c>
      <c r="BA7" s="44">
        <v>0</v>
      </c>
      <c r="BB7" s="43" t="s">
        <v>359</v>
      </c>
      <c r="BC7" s="44">
        <v>0</v>
      </c>
      <c r="BD7" s="43" t="s">
        <v>359</v>
      </c>
      <c r="BE7" s="44">
        <v>0</v>
      </c>
      <c r="BF7" s="43" t="s">
        <v>359</v>
      </c>
      <c r="BG7" s="44">
        <v>0</v>
      </c>
      <c r="BH7" s="43" t="s">
        <v>359</v>
      </c>
      <c r="BI7" s="44">
        <v>0</v>
      </c>
      <c r="BJ7" s="43" t="s">
        <v>359</v>
      </c>
      <c r="BK7" s="44">
        <v>0</v>
      </c>
      <c r="BL7" s="43" t="s">
        <v>359</v>
      </c>
      <c r="BM7" s="44">
        <v>0</v>
      </c>
      <c r="BN7" s="43" t="s">
        <v>359</v>
      </c>
      <c r="BO7" s="44">
        <v>0</v>
      </c>
      <c r="BP7" s="43" t="s">
        <v>359</v>
      </c>
      <c r="BQ7" s="44">
        <v>0</v>
      </c>
      <c r="BR7" s="43" t="s">
        <v>359</v>
      </c>
      <c r="BS7" s="44">
        <v>0</v>
      </c>
      <c r="BT7" s="6" t="s">
        <v>360</v>
      </c>
      <c r="BU7" s="6" t="s">
        <v>359</v>
      </c>
      <c r="BW7" s="0" t="s">
        <v>361</v>
      </c>
      <c r="BX7" s="0" t="s">
        <v>359</v>
      </c>
      <c r="BY7" s="0" t="s">
        <v>359</v>
      </c>
      <c r="BZ7" s="0" t="s">
        <v>359</v>
      </c>
      <c r="CA7" s="0" t="s">
        <v>359</v>
      </c>
      <c r="CB7" s="0" t="s">
        <v>359</v>
      </c>
      <c r="CC7" s="0" t="s">
        <v>359</v>
      </c>
      <c r="CD7" s="0" t="s">
        <v>359</v>
      </c>
      <c r="CE7" s="0" t="s">
        <v>359</v>
      </c>
      <c r="CF7" s="0" t="s">
        <v>359</v>
      </c>
      <c r="CG7" s="0" t="s">
        <v>359</v>
      </c>
      <c r="CI7" s="46">
        <v>4.294</v>
      </c>
      <c r="CJ7" s="46">
        <v>4.303</v>
      </c>
      <c r="CK7" s="46">
        <v>5.748</v>
      </c>
      <c r="CL7" s="6" t="s">
        <v>15</v>
      </c>
      <c r="CM7" s="6">
        <v>12</v>
      </c>
      <c r="CN7" s="6">
        <v>12</v>
      </c>
      <c r="CO7" s="6">
        <v>4</v>
      </c>
      <c r="CP7" s="6" t="s">
        <v>15</v>
      </c>
      <c r="CQ7" s="45">
        <v>4.294</v>
      </c>
      <c r="CR7" s="6" t="s">
        <v>17</v>
      </c>
      <c r="CS7" s="6" t="s">
        <v>15</v>
      </c>
      <c r="CU7" s="46">
        <v>9.99</v>
      </c>
      <c r="CV7" s="46">
        <v>9.99</v>
      </c>
      <c r="CW7" s="46">
        <v>6.99</v>
      </c>
      <c r="CX7" s="6" t="s">
        <v>15</v>
      </c>
      <c r="CY7" s="6">
        <v>1</v>
      </c>
      <c r="CZ7" s="6">
        <v>1</v>
      </c>
      <c r="DA7" s="6">
        <v>1</v>
      </c>
      <c r="DB7" s="6" t="s">
        <v>15</v>
      </c>
      <c r="DC7" s="45">
        <v>6.99</v>
      </c>
      <c r="DD7" s="6" t="s">
        <v>15</v>
      </c>
      <c r="DE7" s="6" t="s">
        <v>15</v>
      </c>
      <c r="DF7" s="0" t="s">
        <v>362</v>
      </c>
      <c r="DG7" s="0" t="s">
        <v>363</v>
      </c>
      <c r="DH7" s="0" t="s">
        <v>136</v>
      </c>
      <c r="DI7" s="0" t="s">
        <v>128</v>
      </c>
      <c r="DJ7" s="39">
        <v>579555</v>
      </c>
      <c r="DK7" s="0" t="s">
        <v>363</v>
      </c>
      <c r="DL7" s="0" t="s">
        <v>122</v>
      </c>
      <c r="DM7" s="0" t="s">
        <v>363</v>
      </c>
      <c r="DO7" s="46">
        <v>9.790000000000001</v>
      </c>
      <c r="DP7" s="46">
        <v>9.790000000000001</v>
      </c>
      <c r="DQ7" s="46">
        <v>6.931</v>
      </c>
      <c r="DR7" s="6" t="s">
        <v>15</v>
      </c>
      <c r="DS7" s="6">
        <v>2</v>
      </c>
      <c r="DT7" s="6">
        <v>2</v>
      </c>
      <c r="DU7" s="6">
        <v>2</v>
      </c>
      <c r="DV7" s="6" t="s">
        <v>15</v>
      </c>
      <c r="DW7" s="45">
        <v>6.931</v>
      </c>
      <c r="DX7" s="6" t="s">
        <v>15</v>
      </c>
      <c r="DY7" s="6" t="s">
        <v>15</v>
      </c>
      <c r="DZ7" s="0" t="s">
        <v>362</v>
      </c>
      <c r="EA7" s="0" t="s">
        <v>363</v>
      </c>
      <c r="EB7" s="0" t="s">
        <v>363</v>
      </c>
      <c r="EC7" s="0" t="s">
        <v>118</v>
      </c>
      <c r="ED7" s="39">
        <v>0</v>
      </c>
      <c r="EE7" s="0" t="s">
        <v>363</v>
      </c>
      <c r="EF7" s="0" t="s">
        <v>117</v>
      </c>
      <c r="EG7" s="0" t="s">
        <v>363</v>
      </c>
      <c r="EI7" s="46">
        <v>9.59</v>
      </c>
      <c r="EJ7" s="46">
        <v>9.59</v>
      </c>
      <c r="EK7" s="46">
        <v>6.872000000000001</v>
      </c>
      <c r="EL7" s="6" t="s">
        <v>15</v>
      </c>
      <c r="EM7" s="6">
        <v>3</v>
      </c>
      <c r="EN7" s="6">
        <v>3</v>
      </c>
      <c r="EO7" s="6">
        <v>3</v>
      </c>
      <c r="EP7" s="6" t="s">
        <v>15</v>
      </c>
      <c r="EQ7" s="45">
        <v>6.872000000000001</v>
      </c>
      <c r="ER7" s="6" t="s">
        <v>15</v>
      </c>
      <c r="ES7" s="6" t="s">
        <v>15</v>
      </c>
      <c r="ET7" s="0" t="s">
        <v>362</v>
      </c>
      <c r="EU7" s="0" t="s">
        <v>363</v>
      </c>
      <c r="EV7" s="0" t="s">
        <v>363</v>
      </c>
      <c r="EW7" s="0" t="s">
        <v>118</v>
      </c>
      <c r="EX7" s="39">
        <v>0</v>
      </c>
      <c r="EY7" s="0" t="s">
        <v>363</v>
      </c>
      <c r="EZ7" s="0" t="s">
        <v>117</v>
      </c>
      <c r="FA7" s="0" t="s">
        <v>363</v>
      </c>
      <c r="FC7" s="46">
        <v>9.39</v>
      </c>
      <c r="FD7" s="46">
        <v>9.39</v>
      </c>
      <c r="FE7" s="46">
        <v>6.813000000000001</v>
      </c>
      <c r="FF7" s="6" t="s">
        <v>15</v>
      </c>
      <c r="FG7" s="6">
        <v>4</v>
      </c>
      <c r="FH7" s="6">
        <v>4</v>
      </c>
      <c r="FI7" s="6">
        <v>4</v>
      </c>
      <c r="FJ7" s="6" t="s">
        <v>15</v>
      </c>
      <c r="FK7" s="45">
        <v>6.813000000000001</v>
      </c>
      <c r="FL7" s="6" t="s">
        <v>15</v>
      </c>
      <c r="FM7" s="6" t="s">
        <v>15</v>
      </c>
      <c r="FN7" s="0" t="s">
        <v>362</v>
      </c>
      <c r="FO7" s="0" t="s">
        <v>363</v>
      </c>
      <c r="FP7" s="0" t="s">
        <v>363</v>
      </c>
      <c r="FQ7" s="0" t="s">
        <v>118</v>
      </c>
      <c r="FR7" s="39">
        <v>0</v>
      </c>
      <c r="FS7" s="0" t="s">
        <v>363</v>
      </c>
      <c r="FT7" s="0" t="s">
        <v>117</v>
      </c>
      <c r="FU7" s="0" t="s">
        <v>363</v>
      </c>
      <c r="FW7" s="46">
        <v>9.19</v>
      </c>
      <c r="FX7" s="46">
        <v>9.19</v>
      </c>
      <c r="FY7" s="46">
        <v>6.7540000000000004</v>
      </c>
      <c r="FZ7" s="6" t="s">
        <v>15</v>
      </c>
      <c r="GA7" s="6">
        <v>5</v>
      </c>
      <c r="GB7" s="6">
        <v>5</v>
      </c>
      <c r="GC7" s="6">
        <v>5</v>
      </c>
      <c r="GD7" s="6" t="s">
        <v>15</v>
      </c>
      <c r="GE7" s="45">
        <v>6.7540000000000004</v>
      </c>
      <c r="GF7" s="6" t="s">
        <v>15</v>
      </c>
      <c r="GG7" s="6" t="s">
        <v>15</v>
      </c>
      <c r="GH7" s="0" t="s">
        <v>362</v>
      </c>
      <c r="GI7" s="0" t="s">
        <v>363</v>
      </c>
      <c r="GJ7" s="0" t="s">
        <v>363</v>
      </c>
      <c r="GK7" s="0" t="s">
        <v>118</v>
      </c>
      <c r="GL7" s="39">
        <v>0</v>
      </c>
      <c r="GM7" s="0" t="s">
        <v>363</v>
      </c>
      <c r="GN7" s="0" t="s">
        <v>117</v>
      </c>
      <c r="GO7" s="0" t="s">
        <v>363</v>
      </c>
      <c r="GQ7" s="46">
        <v>8.99375</v>
      </c>
      <c r="GR7" s="46">
        <v>8.99685</v>
      </c>
      <c r="GS7" s="46">
        <v>6.695</v>
      </c>
      <c r="GT7" s="6" t="s">
        <v>15</v>
      </c>
      <c r="GU7" s="6">
        <v>1</v>
      </c>
      <c r="GV7" s="6">
        <v>1</v>
      </c>
      <c r="GW7" s="6">
        <v>6</v>
      </c>
      <c r="GX7" s="6" t="s">
        <v>15</v>
      </c>
      <c r="GY7" s="45">
        <v>6.695</v>
      </c>
      <c r="GZ7" s="6" t="s">
        <v>15</v>
      </c>
      <c r="HA7" s="6" t="s">
        <v>15</v>
      </c>
      <c r="HB7" s="0" t="s">
        <v>362</v>
      </c>
      <c r="HC7" s="0" t="s">
        <v>363</v>
      </c>
      <c r="HD7" s="0" t="s">
        <v>363</v>
      </c>
      <c r="HE7" s="0" t="s">
        <v>118</v>
      </c>
      <c r="HF7" s="39">
        <v>0</v>
      </c>
      <c r="HG7" s="0" t="s">
        <v>363</v>
      </c>
      <c r="HH7" s="0" t="s">
        <v>117</v>
      </c>
      <c r="HI7" s="0" t="s">
        <v>363</v>
      </c>
      <c r="HK7" s="46">
        <v>8.86875</v>
      </c>
      <c r="HL7" s="46">
        <v>8.93385</v>
      </c>
      <c r="HM7" s="46">
        <v>6.636</v>
      </c>
      <c r="HN7" s="6" t="s">
        <v>15</v>
      </c>
      <c r="HO7" s="6">
        <v>2</v>
      </c>
      <c r="HP7" s="6">
        <v>2</v>
      </c>
      <c r="HQ7" s="6">
        <v>7</v>
      </c>
      <c r="HR7" s="6" t="s">
        <v>15</v>
      </c>
      <c r="HS7" s="45">
        <v>6.636</v>
      </c>
      <c r="HT7" s="6" t="s">
        <v>15</v>
      </c>
      <c r="HU7" s="6" t="s">
        <v>15</v>
      </c>
      <c r="HV7" s="0" t="s">
        <v>362</v>
      </c>
      <c r="HW7" s="0" t="s">
        <v>363</v>
      </c>
      <c r="HX7" s="0" t="s">
        <v>363</v>
      </c>
      <c r="HY7" s="0" t="s">
        <v>118</v>
      </c>
      <c r="HZ7" s="39">
        <v>0</v>
      </c>
      <c r="IA7" s="0" t="s">
        <v>363</v>
      </c>
      <c r="IB7" s="0" t="s">
        <v>117</v>
      </c>
      <c r="IC7" s="0" t="s">
        <v>363</v>
      </c>
      <c r="IE7" s="46">
        <v>8.74375</v>
      </c>
      <c r="IF7" s="46">
        <v>8.87085</v>
      </c>
      <c r="IG7" s="46">
        <v>6.577000000000001</v>
      </c>
      <c r="IH7" s="6" t="s">
        <v>15</v>
      </c>
      <c r="II7" s="6">
        <v>3</v>
      </c>
      <c r="IJ7" s="6">
        <v>3</v>
      </c>
      <c r="IK7" s="6">
        <v>8</v>
      </c>
      <c r="IL7" s="6" t="s">
        <v>15</v>
      </c>
      <c r="IM7" s="45">
        <v>6.577000000000001</v>
      </c>
      <c r="IN7" s="6" t="s">
        <v>15</v>
      </c>
      <c r="IO7" s="6" t="s">
        <v>15</v>
      </c>
      <c r="IP7" s="0" t="s">
        <v>362</v>
      </c>
      <c r="IQ7" s="0" t="s">
        <v>363</v>
      </c>
      <c r="IR7" s="0" t="s">
        <v>363</v>
      </c>
      <c r="IS7" s="0" t="s">
        <v>118</v>
      </c>
      <c r="IT7" s="39">
        <v>0</v>
      </c>
      <c r="IU7" s="0" t="s">
        <v>363</v>
      </c>
      <c r="IV7" s="0" t="s">
        <v>117</v>
      </c>
      <c r="IW7" s="0" t="s">
        <v>363</v>
      </c>
      <c r="IY7" s="46">
        <v>8.61875</v>
      </c>
      <c r="IZ7" s="46">
        <v>8.80785</v>
      </c>
      <c r="JA7" s="46">
        <v>6.518000000000001</v>
      </c>
      <c r="JB7" s="6" t="s">
        <v>15</v>
      </c>
      <c r="JC7" s="6">
        <v>4</v>
      </c>
      <c r="JD7" s="6">
        <v>4</v>
      </c>
      <c r="JE7" s="6">
        <v>9</v>
      </c>
      <c r="JF7" s="6" t="s">
        <v>15</v>
      </c>
      <c r="JG7" s="45">
        <v>6.518000000000001</v>
      </c>
      <c r="JH7" s="6" t="s">
        <v>15</v>
      </c>
      <c r="JI7" s="6" t="s">
        <v>15</v>
      </c>
      <c r="JJ7" s="0" t="s">
        <v>362</v>
      </c>
      <c r="JK7" s="0" t="s">
        <v>363</v>
      </c>
      <c r="JL7" s="0" t="s">
        <v>363</v>
      </c>
      <c r="JM7" s="0" t="s">
        <v>118</v>
      </c>
      <c r="JN7" s="39">
        <v>0</v>
      </c>
      <c r="JO7" s="0" t="s">
        <v>363</v>
      </c>
      <c r="JP7" s="0" t="s">
        <v>117</v>
      </c>
      <c r="JQ7" s="0" t="s">
        <v>363</v>
      </c>
      <c r="JS7" s="46">
        <v>8.49375</v>
      </c>
      <c r="JT7" s="46">
        <v>8.74485</v>
      </c>
      <c r="JU7" s="46">
        <v>6.4590000000000005</v>
      </c>
      <c r="JV7" s="6" t="s">
        <v>15</v>
      </c>
      <c r="JW7" s="6">
        <v>5</v>
      </c>
      <c r="JX7" s="6">
        <v>5</v>
      </c>
      <c r="JY7" s="6">
        <v>10</v>
      </c>
      <c r="JZ7" s="6" t="s">
        <v>15</v>
      </c>
      <c r="KA7" s="45">
        <v>6.4590000000000005</v>
      </c>
      <c r="KB7" s="6" t="s">
        <v>15</v>
      </c>
      <c r="KC7" s="6" t="s">
        <v>15</v>
      </c>
      <c r="KD7" s="0" t="s">
        <v>362</v>
      </c>
      <c r="KE7" s="0" t="s">
        <v>363</v>
      </c>
      <c r="KF7" s="0" t="s">
        <v>363</v>
      </c>
      <c r="KG7" s="0" t="s">
        <v>118</v>
      </c>
      <c r="KH7" s="39">
        <v>0</v>
      </c>
      <c r="KI7" s="0" t="s">
        <v>363</v>
      </c>
      <c r="KJ7" s="0" t="s">
        <v>117</v>
      </c>
      <c r="KK7" s="0" t="s">
        <v>363</v>
      </c>
      <c r="KM7" s="46">
        <v>8.36875</v>
      </c>
      <c r="KN7" s="46">
        <v>8.68185</v>
      </c>
      <c r="KO7" s="46">
        <v>6.4</v>
      </c>
      <c r="KP7" s="6" t="s">
        <v>15</v>
      </c>
      <c r="KQ7" s="6">
        <v>6</v>
      </c>
      <c r="KR7" s="6">
        <v>6</v>
      </c>
      <c r="KS7" s="6">
        <v>11</v>
      </c>
      <c r="KT7" s="6" t="s">
        <v>15</v>
      </c>
      <c r="KU7" s="45">
        <v>6.4</v>
      </c>
      <c r="KV7" s="6" t="s">
        <v>15</v>
      </c>
      <c r="KW7" s="6" t="s">
        <v>15</v>
      </c>
      <c r="KX7" s="0" t="s">
        <v>362</v>
      </c>
      <c r="KY7" s="0" t="s">
        <v>363</v>
      </c>
      <c r="KZ7" s="0" t="s">
        <v>363</v>
      </c>
      <c r="LA7" s="0" t="s">
        <v>118</v>
      </c>
      <c r="LB7" s="39">
        <v>0</v>
      </c>
      <c r="LC7" s="0" t="s">
        <v>363</v>
      </c>
      <c r="LD7" s="0" t="s">
        <v>117</v>
      </c>
      <c r="LE7" s="0" t="s">
        <v>363</v>
      </c>
    </row>
    <row r="8">
      <c r="A8" s="35" t="s">
        <v>341</v>
      </c>
      <c r="B8" s="36" t="s">
        <v>342</v>
      </c>
      <c r="C8" s="35" t="s">
        <v>372</v>
      </c>
      <c r="D8" s="36">
        <v>30018</v>
      </c>
      <c r="E8" s="36" t="s">
        <v>344</v>
      </c>
      <c r="F8" s="35" t="s">
        <v>345</v>
      </c>
      <c r="G8" s="35" t="s">
        <v>45</v>
      </c>
      <c r="H8" s="36" t="s">
        <v>373</v>
      </c>
      <c r="I8" s="35" t="s">
        <v>347</v>
      </c>
      <c r="J8" s="35"/>
      <c r="K8" s="35" t="s">
        <v>374</v>
      </c>
      <c r="L8" s="35" t="s">
        <v>375</v>
      </c>
      <c r="M8" s="35" t="s">
        <v>376</v>
      </c>
      <c r="N8" s="35" t="s">
        <v>377</v>
      </c>
      <c r="O8" s="37">
        <v>39</v>
      </c>
      <c r="P8" s="37">
        <v>947.7</v>
      </c>
      <c r="Q8" s="36" t="s">
        <v>15</v>
      </c>
      <c r="R8" s="35" t="s">
        <v>352</v>
      </c>
      <c r="S8" s="36" t="s">
        <v>368</v>
      </c>
      <c r="T8" s="35" t="s">
        <v>369</v>
      </c>
      <c r="U8" s="36" t="s">
        <v>15</v>
      </c>
      <c r="V8" s="36" t="s">
        <v>15</v>
      </c>
      <c r="W8" s="35" t="s">
        <v>62</v>
      </c>
      <c r="X8" s="36" t="s">
        <v>15</v>
      </c>
      <c r="Y8" s="36" t="s">
        <v>17</v>
      </c>
      <c r="Z8" s="38" t="s">
        <v>39</v>
      </c>
      <c r="AA8" s="36" t="s">
        <v>15</v>
      </c>
      <c r="AB8" s="35" t="s">
        <v>354</v>
      </c>
      <c r="AC8" s="36">
        <v>8</v>
      </c>
      <c r="AD8" s="36" t="s">
        <v>15</v>
      </c>
      <c r="AE8" s="36" t="s">
        <v>15</v>
      </c>
      <c r="AF8" s="36">
        <v>1956</v>
      </c>
      <c r="AG8" s="36">
        <v>71</v>
      </c>
      <c r="AH8" s="37">
        <v>290</v>
      </c>
      <c r="AI8" s="37">
        <v>524</v>
      </c>
      <c r="AJ8" s="37">
        <v>5</v>
      </c>
      <c r="AK8" s="36" t="s">
        <v>355</v>
      </c>
      <c r="AL8" s="37">
        <v>45</v>
      </c>
      <c r="AM8" s="35" t="s">
        <v>15</v>
      </c>
      <c r="AN8" s="35" t="s">
        <v>359</v>
      </c>
      <c r="AO8" s="36" t="s">
        <v>356</v>
      </c>
      <c r="AP8" s="36" t="s">
        <v>15</v>
      </c>
      <c r="AQ8" s="35" t="s">
        <v>357</v>
      </c>
      <c r="AR8" s="36" t="s">
        <v>15</v>
      </c>
      <c r="AS8" s="36" t="s">
        <v>15</v>
      </c>
      <c r="AT8" s="36" t="s">
        <v>17</v>
      </c>
      <c r="AU8" s="36" t="s">
        <v>15</v>
      </c>
      <c r="AV8" s="36" t="s">
        <v>17</v>
      </c>
      <c r="AW8" s="36" t="s">
        <v>15</v>
      </c>
      <c r="AX8" s="41" t="s">
        <v>371</v>
      </c>
      <c r="AY8" s="42">
        <v>426465</v>
      </c>
      <c r="AZ8" s="41" t="s">
        <v>359</v>
      </c>
      <c r="BA8" s="42">
        <v>0</v>
      </c>
      <c r="BB8" s="41" t="s">
        <v>359</v>
      </c>
      <c r="BC8" s="42">
        <v>0</v>
      </c>
      <c r="BD8" s="41" t="s">
        <v>359</v>
      </c>
      <c r="BE8" s="42">
        <v>0</v>
      </c>
      <c r="BF8" s="41" t="s">
        <v>359</v>
      </c>
      <c r="BG8" s="42">
        <v>0</v>
      </c>
      <c r="BH8" s="41" t="s">
        <v>359</v>
      </c>
      <c r="BI8" s="42">
        <v>0</v>
      </c>
      <c r="BJ8" s="41" t="s">
        <v>359</v>
      </c>
      <c r="BK8" s="42">
        <v>0</v>
      </c>
      <c r="BL8" s="41" t="s">
        <v>359</v>
      </c>
      <c r="BM8" s="42">
        <v>0</v>
      </c>
      <c r="BN8" s="41" t="s">
        <v>359</v>
      </c>
      <c r="BO8" s="42">
        <v>0</v>
      </c>
      <c r="BP8" s="41" t="s">
        <v>359</v>
      </c>
      <c r="BQ8" s="42">
        <v>0</v>
      </c>
      <c r="BR8" s="41" t="s">
        <v>359</v>
      </c>
      <c r="BS8" s="42">
        <v>0</v>
      </c>
      <c r="BT8" s="36" t="s">
        <v>360</v>
      </c>
      <c r="BU8" s="36" t="s">
        <v>359</v>
      </c>
      <c r="BV8" s="35"/>
      <c r="BW8" s="35" t="s">
        <v>361</v>
      </c>
      <c r="BX8" s="35" t="s">
        <v>359</v>
      </c>
      <c r="BY8" s="35" t="s">
        <v>359</v>
      </c>
      <c r="BZ8" s="35" t="s">
        <v>359</v>
      </c>
      <c r="CA8" s="35" t="s">
        <v>359</v>
      </c>
      <c r="CB8" s="35" t="s">
        <v>359</v>
      </c>
      <c r="CC8" s="35" t="s">
        <v>359</v>
      </c>
      <c r="CD8" s="35" t="s">
        <v>359</v>
      </c>
      <c r="CE8" s="35" t="s">
        <v>359</v>
      </c>
      <c r="CF8" s="35" t="s">
        <v>359</v>
      </c>
      <c r="CG8" s="35" t="s">
        <v>359</v>
      </c>
      <c r="CI8" s="47">
        <v>4.588000000000001</v>
      </c>
      <c r="CJ8" s="47">
        <v>4.584</v>
      </c>
      <c r="CK8" s="47">
        <v>5.639</v>
      </c>
      <c r="CL8" s="36" t="s">
        <v>15</v>
      </c>
      <c r="CM8" s="36">
        <v>6</v>
      </c>
      <c r="CN8" s="36">
        <v>6</v>
      </c>
      <c r="CO8" s="36">
        <v>8</v>
      </c>
      <c r="CP8" s="36" t="s">
        <v>15</v>
      </c>
      <c r="CQ8" s="48">
        <v>4.584</v>
      </c>
      <c r="CR8" s="36" t="s">
        <v>17</v>
      </c>
      <c r="CS8" s="36" t="s">
        <v>17</v>
      </c>
      <c r="CU8" s="47">
        <v>9.99</v>
      </c>
      <c r="CV8" s="47">
        <v>9.99</v>
      </c>
      <c r="CW8" s="47">
        <v>6.99</v>
      </c>
      <c r="CX8" s="36" t="s">
        <v>15</v>
      </c>
      <c r="CY8" s="36">
        <v>1</v>
      </c>
      <c r="CZ8" s="36">
        <v>1</v>
      </c>
      <c r="DA8" s="36">
        <v>1</v>
      </c>
      <c r="DB8" s="36" t="s">
        <v>15</v>
      </c>
      <c r="DC8" s="48">
        <v>6.99</v>
      </c>
      <c r="DD8" s="36" t="s">
        <v>15</v>
      </c>
      <c r="DE8" s="36" t="s">
        <v>17</v>
      </c>
      <c r="DF8" s="35" t="s">
        <v>362</v>
      </c>
      <c r="DG8" s="35" t="s">
        <v>363</v>
      </c>
      <c r="DH8" s="35" t="s">
        <v>136</v>
      </c>
      <c r="DI8" s="35" t="s">
        <v>128</v>
      </c>
      <c r="DJ8" s="40">
        <v>426465</v>
      </c>
      <c r="DK8" s="35" t="s">
        <v>363</v>
      </c>
      <c r="DL8" s="35" t="s">
        <v>122</v>
      </c>
      <c r="DM8" s="35" t="s">
        <v>363</v>
      </c>
      <c r="DO8" s="47">
        <v>9.790000000000001</v>
      </c>
      <c r="DP8" s="47">
        <v>9.790000000000001</v>
      </c>
      <c r="DQ8" s="47">
        <v>6.931</v>
      </c>
      <c r="DR8" s="36" t="s">
        <v>15</v>
      </c>
      <c r="DS8" s="36">
        <v>2</v>
      </c>
      <c r="DT8" s="36">
        <v>2</v>
      </c>
      <c r="DU8" s="36">
        <v>2</v>
      </c>
      <c r="DV8" s="36" t="s">
        <v>15</v>
      </c>
      <c r="DW8" s="48">
        <v>6.931</v>
      </c>
      <c r="DX8" s="36" t="s">
        <v>15</v>
      </c>
      <c r="DY8" s="36" t="s">
        <v>17</v>
      </c>
      <c r="DZ8" s="35" t="s">
        <v>362</v>
      </c>
      <c r="EA8" s="35" t="s">
        <v>363</v>
      </c>
      <c r="EB8" s="35" t="s">
        <v>363</v>
      </c>
      <c r="EC8" s="35" t="s">
        <v>118</v>
      </c>
      <c r="ED8" s="40">
        <v>0</v>
      </c>
      <c r="EE8" s="35" t="s">
        <v>363</v>
      </c>
      <c r="EF8" s="35" t="s">
        <v>117</v>
      </c>
      <c r="EG8" s="35" t="s">
        <v>363</v>
      </c>
      <c r="EI8" s="47">
        <v>9.59</v>
      </c>
      <c r="EJ8" s="47">
        <v>9.59</v>
      </c>
      <c r="EK8" s="47">
        <v>6.872000000000001</v>
      </c>
      <c r="EL8" s="36" t="s">
        <v>15</v>
      </c>
      <c r="EM8" s="36">
        <v>3</v>
      </c>
      <c r="EN8" s="36">
        <v>3</v>
      </c>
      <c r="EO8" s="36">
        <v>3</v>
      </c>
      <c r="EP8" s="36" t="s">
        <v>15</v>
      </c>
      <c r="EQ8" s="48">
        <v>6.872000000000001</v>
      </c>
      <c r="ER8" s="36" t="s">
        <v>15</v>
      </c>
      <c r="ES8" s="36" t="s">
        <v>17</v>
      </c>
      <c r="ET8" s="35" t="s">
        <v>362</v>
      </c>
      <c r="EU8" s="35" t="s">
        <v>363</v>
      </c>
      <c r="EV8" s="35" t="s">
        <v>363</v>
      </c>
      <c r="EW8" s="35" t="s">
        <v>118</v>
      </c>
      <c r="EX8" s="40">
        <v>0</v>
      </c>
      <c r="EY8" s="35" t="s">
        <v>363</v>
      </c>
      <c r="EZ8" s="35" t="s">
        <v>117</v>
      </c>
      <c r="FA8" s="35" t="s">
        <v>363</v>
      </c>
      <c r="FC8" s="47">
        <v>9.39</v>
      </c>
      <c r="FD8" s="47">
        <v>9.39</v>
      </c>
      <c r="FE8" s="47">
        <v>6.813000000000001</v>
      </c>
      <c r="FF8" s="36" t="s">
        <v>15</v>
      </c>
      <c r="FG8" s="36">
        <v>4</v>
      </c>
      <c r="FH8" s="36">
        <v>4</v>
      </c>
      <c r="FI8" s="36">
        <v>4</v>
      </c>
      <c r="FJ8" s="36" t="s">
        <v>15</v>
      </c>
      <c r="FK8" s="48">
        <v>6.813000000000001</v>
      </c>
      <c r="FL8" s="36" t="s">
        <v>15</v>
      </c>
      <c r="FM8" s="36" t="s">
        <v>17</v>
      </c>
      <c r="FN8" s="35" t="s">
        <v>362</v>
      </c>
      <c r="FO8" s="35" t="s">
        <v>363</v>
      </c>
      <c r="FP8" s="35" t="s">
        <v>363</v>
      </c>
      <c r="FQ8" s="35" t="s">
        <v>118</v>
      </c>
      <c r="FR8" s="40">
        <v>0</v>
      </c>
      <c r="FS8" s="35" t="s">
        <v>363</v>
      </c>
      <c r="FT8" s="35" t="s">
        <v>117</v>
      </c>
      <c r="FU8" s="35" t="s">
        <v>363</v>
      </c>
      <c r="FW8" s="47">
        <v>9.19</v>
      </c>
      <c r="FX8" s="47">
        <v>9.19</v>
      </c>
      <c r="FY8" s="47">
        <v>6.7540000000000004</v>
      </c>
      <c r="FZ8" s="36" t="s">
        <v>15</v>
      </c>
      <c r="GA8" s="36">
        <v>5</v>
      </c>
      <c r="GB8" s="36">
        <v>5</v>
      </c>
      <c r="GC8" s="36">
        <v>5</v>
      </c>
      <c r="GD8" s="36" t="s">
        <v>15</v>
      </c>
      <c r="GE8" s="48">
        <v>6.7540000000000004</v>
      </c>
      <c r="GF8" s="36" t="s">
        <v>15</v>
      </c>
      <c r="GG8" s="36" t="s">
        <v>17</v>
      </c>
      <c r="GH8" s="35" t="s">
        <v>362</v>
      </c>
      <c r="GI8" s="35" t="s">
        <v>363</v>
      </c>
      <c r="GJ8" s="35" t="s">
        <v>363</v>
      </c>
      <c r="GK8" s="35" t="s">
        <v>118</v>
      </c>
      <c r="GL8" s="40">
        <v>0</v>
      </c>
      <c r="GM8" s="35" t="s">
        <v>363</v>
      </c>
      <c r="GN8" s="35" t="s">
        <v>117</v>
      </c>
      <c r="GO8" s="35" t="s">
        <v>363</v>
      </c>
      <c r="GQ8" s="47">
        <v>8.99375</v>
      </c>
      <c r="GR8" s="47">
        <v>8.99685</v>
      </c>
      <c r="GS8" s="47">
        <v>6.695</v>
      </c>
      <c r="GT8" s="36" t="s">
        <v>15</v>
      </c>
      <c r="GU8" s="36">
        <v>1</v>
      </c>
      <c r="GV8" s="36">
        <v>1</v>
      </c>
      <c r="GW8" s="36">
        <v>6</v>
      </c>
      <c r="GX8" s="36" t="s">
        <v>15</v>
      </c>
      <c r="GY8" s="48">
        <v>6.695</v>
      </c>
      <c r="GZ8" s="36" t="s">
        <v>15</v>
      </c>
      <c r="HA8" s="36" t="s">
        <v>17</v>
      </c>
      <c r="HB8" s="35" t="s">
        <v>362</v>
      </c>
      <c r="HC8" s="35" t="s">
        <v>363</v>
      </c>
      <c r="HD8" s="35" t="s">
        <v>363</v>
      </c>
      <c r="HE8" s="35" t="s">
        <v>118</v>
      </c>
      <c r="HF8" s="40">
        <v>0</v>
      </c>
      <c r="HG8" s="35" t="s">
        <v>363</v>
      </c>
      <c r="HH8" s="35" t="s">
        <v>117</v>
      </c>
      <c r="HI8" s="35" t="s">
        <v>363</v>
      </c>
      <c r="HK8" s="47">
        <v>8.86875</v>
      </c>
      <c r="HL8" s="47">
        <v>8.93385</v>
      </c>
      <c r="HM8" s="47">
        <v>6.636</v>
      </c>
      <c r="HN8" s="36" t="s">
        <v>15</v>
      </c>
      <c r="HO8" s="36">
        <v>2</v>
      </c>
      <c r="HP8" s="36">
        <v>2</v>
      </c>
      <c r="HQ8" s="36">
        <v>7</v>
      </c>
      <c r="HR8" s="36" t="s">
        <v>15</v>
      </c>
      <c r="HS8" s="48">
        <v>6.636</v>
      </c>
      <c r="HT8" s="36" t="s">
        <v>15</v>
      </c>
      <c r="HU8" s="36" t="s">
        <v>17</v>
      </c>
      <c r="HV8" s="35" t="s">
        <v>362</v>
      </c>
      <c r="HW8" s="35" t="s">
        <v>363</v>
      </c>
      <c r="HX8" s="35" t="s">
        <v>363</v>
      </c>
      <c r="HY8" s="35" t="s">
        <v>118</v>
      </c>
      <c r="HZ8" s="40">
        <v>0</v>
      </c>
      <c r="IA8" s="35" t="s">
        <v>363</v>
      </c>
      <c r="IB8" s="35" t="s">
        <v>117</v>
      </c>
      <c r="IC8" s="35" t="s">
        <v>363</v>
      </c>
      <c r="IE8" s="47">
        <v>8.74375</v>
      </c>
      <c r="IF8" s="47">
        <v>8.87085</v>
      </c>
      <c r="IG8" s="47">
        <v>6.577000000000001</v>
      </c>
      <c r="IH8" s="36" t="s">
        <v>15</v>
      </c>
      <c r="II8" s="36">
        <v>3</v>
      </c>
      <c r="IJ8" s="36">
        <v>3</v>
      </c>
      <c r="IK8" s="36">
        <v>8</v>
      </c>
      <c r="IL8" s="36" t="s">
        <v>15</v>
      </c>
      <c r="IM8" s="48">
        <v>6.577000000000001</v>
      </c>
      <c r="IN8" s="36" t="s">
        <v>15</v>
      </c>
      <c r="IO8" s="36" t="s">
        <v>17</v>
      </c>
      <c r="IP8" s="35" t="s">
        <v>362</v>
      </c>
      <c r="IQ8" s="35" t="s">
        <v>363</v>
      </c>
      <c r="IR8" s="35" t="s">
        <v>363</v>
      </c>
      <c r="IS8" s="35" t="s">
        <v>118</v>
      </c>
      <c r="IT8" s="40">
        <v>0</v>
      </c>
      <c r="IU8" s="35" t="s">
        <v>363</v>
      </c>
      <c r="IV8" s="35" t="s">
        <v>117</v>
      </c>
      <c r="IW8" s="35" t="s">
        <v>363</v>
      </c>
      <c r="IY8" s="47">
        <v>8.61875</v>
      </c>
      <c r="IZ8" s="47">
        <v>8.80785</v>
      </c>
      <c r="JA8" s="47">
        <v>6.518000000000001</v>
      </c>
      <c r="JB8" s="36" t="s">
        <v>15</v>
      </c>
      <c r="JC8" s="36">
        <v>4</v>
      </c>
      <c r="JD8" s="36">
        <v>4</v>
      </c>
      <c r="JE8" s="36">
        <v>9</v>
      </c>
      <c r="JF8" s="36" t="s">
        <v>15</v>
      </c>
      <c r="JG8" s="48">
        <v>6.518000000000001</v>
      </c>
      <c r="JH8" s="36" t="s">
        <v>15</v>
      </c>
      <c r="JI8" s="36" t="s">
        <v>17</v>
      </c>
      <c r="JJ8" s="35" t="s">
        <v>362</v>
      </c>
      <c r="JK8" s="35" t="s">
        <v>363</v>
      </c>
      <c r="JL8" s="35" t="s">
        <v>363</v>
      </c>
      <c r="JM8" s="35" t="s">
        <v>118</v>
      </c>
      <c r="JN8" s="40">
        <v>0</v>
      </c>
      <c r="JO8" s="35" t="s">
        <v>363</v>
      </c>
      <c r="JP8" s="35" t="s">
        <v>117</v>
      </c>
      <c r="JQ8" s="35" t="s">
        <v>363</v>
      </c>
      <c r="JS8" s="47">
        <v>8.49375</v>
      </c>
      <c r="JT8" s="47">
        <v>8.74485</v>
      </c>
      <c r="JU8" s="47">
        <v>6.4590000000000005</v>
      </c>
      <c r="JV8" s="36" t="s">
        <v>15</v>
      </c>
      <c r="JW8" s="36">
        <v>5</v>
      </c>
      <c r="JX8" s="36">
        <v>5</v>
      </c>
      <c r="JY8" s="36">
        <v>10</v>
      </c>
      <c r="JZ8" s="36" t="s">
        <v>15</v>
      </c>
      <c r="KA8" s="48">
        <v>6.4590000000000005</v>
      </c>
      <c r="KB8" s="36" t="s">
        <v>15</v>
      </c>
      <c r="KC8" s="36" t="s">
        <v>17</v>
      </c>
      <c r="KD8" s="35" t="s">
        <v>362</v>
      </c>
      <c r="KE8" s="35" t="s">
        <v>363</v>
      </c>
      <c r="KF8" s="35" t="s">
        <v>363</v>
      </c>
      <c r="KG8" s="35" t="s">
        <v>118</v>
      </c>
      <c r="KH8" s="40">
        <v>0</v>
      </c>
      <c r="KI8" s="35" t="s">
        <v>363</v>
      </c>
      <c r="KJ8" s="35" t="s">
        <v>117</v>
      </c>
      <c r="KK8" s="35" t="s">
        <v>363</v>
      </c>
      <c r="KM8" s="47">
        <v>8.36875</v>
      </c>
      <c r="KN8" s="47">
        <v>8.68185</v>
      </c>
      <c r="KO8" s="47">
        <v>6.4</v>
      </c>
      <c r="KP8" s="36" t="s">
        <v>15</v>
      </c>
      <c r="KQ8" s="36">
        <v>6</v>
      </c>
      <c r="KR8" s="36">
        <v>6</v>
      </c>
      <c r="KS8" s="36">
        <v>11</v>
      </c>
      <c r="KT8" s="36" t="s">
        <v>15</v>
      </c>
      <c r="KU8" s="48">
        <v>6.4</v>
      </c>
      <c r="KV8" s="36" t="s">
        <v>15</v>
      </c>
      <c r="KW8" s="36" t="s">
        <v>17</v>
      </c>
      <c r="KX8" s="35" t="s">
        <v>362</v>
      </c>
      <c r="KY8" s="35" t="s">
        <v>363</v>
      </c>
      <c r="KZ8" s="35" t="s">
        <v>363</v>
      </c>
      <c r="LA8" s="35" t="s">
        <v>118</v>
      </c>
      <c r="LB8" s="40">
        <v>0</v>
      </c>
      <c r="LC8" s="35" t="s">
        <v>363</v>
      </c>
      <c r="LD8" s="35" t="s">
        <v>117</v>
      </c>
      <c r="LE8" s="35" t="s">
        <v>363</v>
      </c>
    </row>
    <row r="9">
      <c r="A9" s="0" t="s">
        <v>341</v>
      </c>
      <c r="B9" s="6" t="s">
        <v>342</v>
      </c>
      <c r="C9" s="0" t="s">
        <v>378</v>
      </c>
      <c r="D9" s="6">
        <v>30026</v>
      </c>
      <c r="E9" s="6" t="s">
        <v>344</v>
      </c>
      <c r="F9" s="0" t="s">
        <v>345</v>
      </c>
      <c r="G9" s="0" t="s">
        <v>40</v>
      </c>
      <c r="H9" s="6" t="s">
        <v>346</v>
      </c>
      <c r="I9" s="0" t="s">
        <v>347</v>
      </c>
      <c r="K9" s="0" t="s">
        <v>379</v>
      </c>
      <c r="L9" s="0" t="s">
        <v>380</v>
      </c>
      <c r="M9" s="0" t="s">
        <v>381</v>
      </c>
      <c r="N9" s="0" t="s">
        <v>351</v>
      </c>
      <c r="O9" s="33">
        <v>33</v>
      </c>
      <c r="P9" s="33">
        <v>574.2</v>
      </c>
      <c r="Q9" s="6" t="s">
        <v>15</v>
      </c>
      <c r="R9" s="0" t="s">
        <v>352</v>
      </c>
      <c r="S9" s="6" t="s">
        <v>25</v>
      </c>
      <c r="T9" s="0" t="s">
        <v>382</v>
      </c>
      <c r="U9" s="6" t="s">
        <v>15</v>
      </c>
      <c r="V9" s="6" t="s">
        <v>15</v>
      </c>
      <c r="W9" s="0" t="s">
        <v>62</v>
      </c>
      <c r="X9" s="6" t="s">
        <v>15</v>
      </c>
      <c r="Y9" s="6" t="s">
        <v>17</v>
      </c>
      <c r="Z9" s="34" t="s">
        <v>39</v>
      </c>
      <c r="AA9" s="6" t="s">
        <v>15</v>
      </c>
      <c r="AB9" s="0" t="s">
        <v>354</v>
      </c>
      <c r="AC9" s="6">
        <v>4</v>
      </c>
      <c r="AD9" s="6" t="s">
        <v>15</v>
      </c>
      <c r="AE9" s="6" t="s">
        <v>15</v>
      </c>
      <c r="AF9" s="6">
        <v>1916</v>
      </c>
      <c r="AG9" s="6">
        <v>111</v>
      </c>
      <c r="AH9" s="33">
        <v>110</v>
      </c>
      <c r="AI9" s="33">
        <v>503</v>
      </c>
      <c r="AJ9" s="33">
        <v>99</v>
      </c>
      <c r="AK9" s="6" t="s">
        <v>370</v>
      </c>
      <c r="AL9" s="33">
        <v>45</v>
      </c>
      <c r="AM9" s="0" t="s">
        <v>15</v>
      </c>
      <c r="AN9" s="0" t="s">
        <v>342</v>
      </c>
      <c r="AO9" s="6" t="s">
        <v>356</v>
      </c>
      <c r="AP9" s="6" t="s">
        <v>15</v>
      </c>
      <c r="AQ9" s="0" t="s">
        <v>357</v>
      </c>
      <c r="AR9" s="6" t="s">
        <v>15</v>
      </c>
      <c r="AS9" s="6" t="s">
        <v>15</v>
      </c>
      <c r="AT9" s="6" t="s">
        <v>17</v>
      </c>
      <c r="AU9" s="6" t="s">
        <v>15</v>
      </c>
      <c r="AV9" s="6" t="s">
        <v>17</v>
      </c>
      <c r="AW9" s="6" t="s">
        <v>15</v>
      </c>
      <c r="AX9" s="43" t="s">
        <v>359</v>
      </c>
      <c r="AY9" s="44">
        <v>0</v>
      </c>
      <c r="AZ9" s="43" t="s">
        <v>359</v>
      </c>
      <c r="BA9" s="44">
        <v>0</v>
      </c>
      <c r="BB9" s="43" t="s">
        <v>359</v>
      </c>
      <c r="BC9" s="44">
        <v>0</v>
      </c>
      <c r="BD9" s="43" t="s">
        <v>359</v>
      </c>
      <c r="BE9" s="44">
        <v>0</v>
      </c>
      <c r="BF9" s="43" t="s">
        <v>359</v>
      </c>
      <c r="BG9" s="44">
        <v>0</v>
      </c>
      <c r="BH9" s="43" t="s">
        <v>359</v>
      </c>
      <c r="BI9" s="44">
        <v>0</v>
      </c>
      <c r="BJ9" s="43" t="s">
        <v>359</v>
      </c>
      <c r="BK9" s="44">
        <v>0</v>
      </c>
      <c r="BL9" s="43" t="s">
        <v>359</v>
      </c>
      <c r="BM9" s="44">
        <v>0</v>
      </c>
      <c r="BN9" s="43" t="s">
        <v>359</v>
      </c>
      <c r="BO9" s="44">
        <v>0</v>
      </c>
      <c r="BP9" s="43" t="s">
        <v>359</v>
      </c>
      <c r="BQ9" s="44">
        <v>0</v>
      </c>
      <c r="BR9" s="43" t="s">
        <v>383</v>
      </c>
      <c r="BS9" s="44">
        <v>1209524.74</v>
      </c>
      <c r="BT9" s="6" t="s">
        <v>360</v>
      </c>
      <c r="BU9" s="6" t="s">
        <v>359</v>
      </c>
      <c r="BW9" s="0" t="s">
        <v>359</v>
      </c>
      <c r="BX9" s="0" t="s">
        <v>359</v>
      </c>
      <c r="BY9" s="0" t="s">
        <v>359</v>
      </c>
      <c r="BZ9" s="0" t="s">
        <v>359</v>
      </c>
      <c r="CA9" s="0" t="s">
        <v>359</v>
      </c>
      <c r="CB9" s="0" t="s">
        <v>359</v>
      </c>
      <c r="CC9" s="0" t="s">
        <v>359</v>
      </c>
      <c r="CD9" s="0" t="s">
        <v>359</v>
      </c>
      <c r="CE9" s="0" t="s">
        <v>359</v>
      </c>
      <c r="CF9" s="0" t="s">
        <v>359</v>
      </c>
      <c r="CG9" s="0" t="s">
        <v>361</v>
      </c>
      <c r="CI9" s="46">
        <v>6.050999999999999</v>
      </c>
      <c r="CJ9" s="46">
        <v>5.3469999999999995</v>
      </c>
      <c r="CK9" s="46">
        <v>4.705000000000001</v>
      </c>
      <c r="CL9" s="6" t="s">
        <v>15</v>
      </c>
      <c r="CM9" s="6">
        <v>40</v>
      </c>
      <c r="CN9" s="6">
        <v>22</v>
      </c>
      <c r="CO9" s="6">
        <v>4</v>
      </c>
      <c r="CP9" s="6" t="s">
        <v>15</v>
      </c>
      <c r="CQ9" s="45">
        <v>4.705000000000001</v>
      </c>
      <c r="CR9" s="6" t="s">
        <v>17</v>
      </c>
      <c r="CS9" s="6" t="s">
        <v>15</v>
      </c>
      <c r="CU9" s="46">
        <v>6.050999999999999</v>
      </c>
      <c r="CV9" s="46">
        <v>5.3469999999999995</v>
      </c>
      <c r="CW9" s="46">
        <v>4.705000000000001</v>
      </c>
      <c r="CX9" s="6" t="s">
        <v>15</v>
      </c>
      <c r="CY9" s="6">
        <v>40</v>
      </c>
      <c r="CZ9" s="6">
        <v>22</v>
      </c>
      <c r="DA9" s="6">
        <v>4</v>
      </c>
      <c r="DB9" s="6" t="s">
        <v>15</v>
      </c>
      <c r="DC9" s="45">
        <v>4.705000000000001</v>
      </c>
      <c r="DD9" s="6" t="s">
        <v>17</v>
      </c>
      <c r="DE9" s="6" t="s">
        <v>15</v>
      </c>
      <c r="DF9" s="0" t="s">
        <v>362</v>
      </c>
      <c r="DG9" s="0" t="s">
        <v>363</v>
      </c>
      <c r="DH9" s="0" t="s">
        <v>363</v>
      </c>
      <c r="DI9" s="0" t="s">
        <v>118</v>
      </c>
      <c r="DJ9" s="39">
        <v>0</v>
      </c>
      <c r="DK9" s="0" t="s">
        <v>363</v>
      </c>
      <c r="DL9" s="0" t="s">
        <v>117</v>
      </c>
      <c r="DM9" s="0" t="s">
        <v>363</v>
      </c>
      <c r="DO9" s="46">
        <v>6.001359999999999</v>
      </c>
      <c r="DP9" s="46">
        <v>5.2989999999999995</v>
      </c>
      <c r="DQ9" s="46">
        <v>4.634</v>
      </c>
      <c r="DR9" s="6" t="s">
        <v>15</v>
      </c>
      <c r="DS9" s="6">
        <v>41</v>
      </c>
      <c r="DT9" s="6">
        <v>23</v>
      </c>
      <c r="DU9" s="6">
        <v>5</v>
      </c>
      <c r="DV9" s="6" t="s">
        <v>15</v>
      </c>
      <c r="DW9" s="45">
        <v>4.634</v>
      </c>
      <c r="DX9" s="6" t="s">
        <v>17</v>
      </c>
      <c r="DY9" s="6" t="s">
        <v>15</v>
      </c>
      <c r="DZ9" s="0" t="s">
        <v>362</v>
      </c>
      <c r="EA9" s="0" t="s">
        <v>363</v>
      </c>
      <c r="EB9" s="0" t="s">
        <v>363</v>
      </c>
      <c r="EC9" s="0" t="s">
        <v>118</v>
      </c>
      <c r="ED9" s="39">
        <v>0</v>
      </c>
      <c r="EE9" s="0" t="s">
        <v>363</v>
      </c>
      <c r="EF9" s="0" t="s">
        <v>117</v>
      </c>
      <c r="EG9" s="0" t="s">
        <v>363</v>
      </c>
      <c r="EI9" s="46">
        <v>5.953359999999999</v>
      </c>
      <c r="EJ9" s="46">
        <v>5.2509999999999994</v>
      </c>
      <c r="EK9" s="46">
        <v>4.563000000000001</v>
      </c>
      <c r="EL9" s="6" t="s">
        <v>15</v>
      </c>
      <c r="EM9" s="6">
        <v>1</v>
      </c>
      <c r="EN9" s="6">
        <v>24</v>
      </c>
      <c r="EO9" s="6">
        <v>6</v>
      </c>
      <c r="EP9" s="6" t="s">
        <v>15</v>
      </c>
      <c r="EQ9" s="45">
        <v>4.563000000000001</v>
      </c>
      <c r="ER9" s="6" t="s">
        <v>17</v>
      </c>
      <c r="ES9" s="6" t="s">
        <v>15</v>
      </c>
      <c r="ET9" s="0" t="s">
        <v>362</v>
      </c>
      <c r="EU9" s="0" t="s">
        <v>363</v>
      </c>
      <c r="EV9" s="0" t="s">
        <v>363</v>
      </c>
      <c r="EW9" s="0" t="s">
        <v>118</v>
      </c>
      <c r="EX9" s="39">
        <v>0</v>
      </c>
      <c r="EY9" s="0" t="s">
        <v>363</v>
      </c>
      <c r="EZ9" s="0" t="s">
        <v>117</v>
      </c>
      <c r="FA9" s="0" t="s">
        <v>363</v>
      </c>
      <c r="FC9" s="46">
        <v>5.905359999999999</v>
      </c>
      <c r="FD9" s="46">
        <v>5.202999999999999</v>
      </c>
      <c r="FE9" s="46">
        <v>4.492000000000001</v>
      </c>
      <c r="FF9" s="6" t="s">
        <v>15</v>
      </c>
      <c r="FG9" s="6">
        <v>2</v>
      </c>
      <c r="FH9" s="6">
        <v>25</v>
      </c>
      <c r="FI9" s="6">
        <v>7</v>
      </c>
      <c r="FJ9" s="6" t="s">
        <v>15</v>
      </c>
      <c r="FK9" s="45">
        <v>4.492000000000001</v>
      </c>
      <c r="FL9" s="6" t="s">
        <v>17</v>
      </c>
      <c r="FM9" s="6" t="s">
        <v>15</v>
      </c>
      <c r="FN9" s="0" t="s">
        <v>362</v>
      </c>
      <c r="FO9" s="0" t="s">
        <v>363</v>
      </c>
      <c r="FP9" s="0" t="s">
        <v>363</v>
      </c>
      <c r="FQ9" s="0" t="s">
        <v>118</v>
      </c>
      <c r="FR9" s="39">
        <v>0</v>
      </c>
      <c r="FS9" s="0" t="s">
        <v>363</v>
      </c>
      <c r="FT9" s="0" t="s">
        <v>117</v>
      </c>
      <c r="FU9" s="0" t="s">
        <v>363</v>
      </c>
      <c r="FW9" s="46">
        <v>5.857359999999999</v>
      </c>
      <c r="FX9" s="46">
        <v>5.154999999999999</v>
      </c>
      <c r="FY9" s="46">
        <v>4.421</v>
      </c>
      <c r="FZ9" s="6" t="s">
        <v>15</v>
      </c>
      <c r="GA9" s="6">
        <v>3</v>
      </c>
      <c r="GB9" s="6">
        <v>26</v>
      </c>
      <c r="GC9" s="6">
        <v>8</v>
      </c>
      <c r="GD9" s="6" t="s">
        <v>15</v>
      </c>
      <c r="GE9" s="45">
        <v>4.421</v>
      </c>
      <c r="GF9" s="6" t="s">
        <v>17</v>
      </c>
      <c r="GG9" s="6" t="s">
        <v>15</v>
      </c>
      <c r="GH9" s="0" t="s">
        <v>362</v>
      </c>
      <c r="GI9" s="0" t="s">
        <v>363</v>
      </c>
      <c r="GJ9" s="0" t="s">
        <v>363</v>
      </c>
      <c r="GK9" s="0" t="s">
        <v>118</v>
      </c>
      <c r="GL9" s="39">
        <v>0</v>
      </c>
      <c r="GM9" s="0" t="s">
        <v>363</v>
      </c>
      <c r="GN9" s="0" t="s">
        <v>117</v>
      </c>
      <c r="GO9" s="0" t="s">
        <v>363</v>
      </c>
      <c r="GQ9" s="46">
        <v>5.809359999999999</v>
      </c>
      <c r="GR9" s="46">
        <v>5.106999999999999</v>
      </c>
      <c r="GS9" s="46">
        <v>4.3500000000000005</v>
      </c>
      <c r="GT9" s="6" t="s">
        <v>15</v>
      </c>
      <c r="GU9" s="6">
        <v>4</v>
      </c>
      <c r="GV9" s="6">
        <v>27</v>
      </c>
      <c r="GW9" s="6">
        <v>9</v>
      </c>
      <c r="GX9" s="6" t="s">
        <v>15</v>
      </c>
      <c r="GY9" s="45">
        <v>4.3500000000000005</v>
      </c>
      <c r="GZ9" s="6" t="s">
        <v>17</v>
      </c>
      <c r="HA9" s="6" t="s">
        <v>15</v>
      </c>
      <c r="HB9" s="0" t="s">
        <v>362</v>
      </c>
      <c r="HC9" s="0" t="s">
        <v>363</v>
      </c>
      <c r="HD9" s="0" t="s">
        <v>363</v>
      </c>
      <c r="HE9" s="0" t="s">
        <v>118</v>
      </c>
      <c r="HF9" s="39">
        <v>0</v>
      </c>
      <c r="HG9" s="0" t="s">
        <v>363</v>
      </c>
      <c r="HH9" s="0" t="s">
        <v>117</v>
      </c>
      <c r="HI9" s="0" t="s">
        <v>363</v>
      </c>
      <c r="HK9" s="46">
        <v>5.761359999999999</v>
      </c>
      <c r="HL9" s="46">
        <v>5.058999999999999</v>
      </c>
      <c r="HM9" s="46">
        <v>4.279000000000001</v>
      </c>
      <c r="HN9" s="6" t="s">
        <v>15</v>
      </c>
      <c r="HO9" s="6">
        <v>5</v>
      </c>
      <c r="HP9" s="6">
        <v>28</v>
      </c>
      <c r="HQ9" s="6">
        <v>10</v>
      </c>
      <c r="HR9" s="6" t="s">
        <v>15</v>
      </c>
      <c r="HS9" s="45">
        <v>4.279000000000001</v>
      </c>
      <c r="HT9" s="6" t="s">
        <v>17</v>
      </c>
      <c r="HU9" s="6" t="s">
        <v>15</v>
      </c>
      <c r="HV9" s="0" t="s">
        <v>362</v>
      </c>
      <c r="HW9" s="0" t="s">
        <v>363</v>
      </c>
      <c r="HX9" s="0" t="s">
        <v>363</v>
      </c>
      <c r="HY9" s="0" t="s">
        <v>118</v>
      </c>
      <c r="HZ9" s="39">
        <v>0</v>
      </c>
      <c r="IA9" s="0" t="s">
        <v>363</v>
      </c>
      <c r="IB9" s="0" t="s">
        <v>117</v>
      </c>
      <c r="IC9" s="0" t="s">
        <v>363</v>
      </c>
      <c r="IE9" s="46">
        <v>5.71336</v>
      </c>
      <c r="IF9" s="46">
        <v>5.010999999999999</v>
      </c>
      <c r="IG9" s="46">
        <v>4.208000000000001</v>
      </c>
      <c r="IH9" s="6" t="s">
        <v>15</v>
      </c>
      <c r="II9" s="6">
        <v>6</v>
      </c>
      <c r="IJ9" s="6">
        <v>29</v>
      </c>
      <c r="IK9" s="6">
        <v>11</v>
      </c>
      <c r="IL9" s="6" t="s">
        <v>15</v>
      </c>
      <c r="IM9" s="45">
        <v>4.208000000000001</v>
      </c>
      <c r="IN9" s="6" t="s">
        <v>17</v>
      </c>
      <c r="IO9" s="6" t="s">
        <v>15</v>
      </c>
      <c r="IP9" s="0" t="s">
        <v>362</v>
      </c>
      <c r="IQ9" s="0" t="s">
        <v>363</v>
      </c>
      <c r="IR9" s="0" t="s">
        <v>363</v>
      </c>
      <c r="IS9" s="0" t="s">
        <v>118</v>
      </c>
      <c r="IT9" s="39">
        <v>0</v>
      </c>
      <c r="IU9" s="0" t="s">
        <v>363</v>
      </c>
      <c r="IV9" s="0" t="s">
        <v>117</v>
      </c>
      <c r="IW9" s="0" t="s">
        <v>363</v>
      </c>
      <c r="IY9" s="46">
        <v>5.66536</v>
      </c>
      <c r="IZ9" s="46">
        <v>4.957854166666666</v>
      </c>
      <c r="JA9" s="46">
        <v>4.1370000000000005</v>
      </c>
      <c r="JB9" s="6" t="s">
        <v>15</v>
      </c>
      <c r="JC9" s="6">
        <v>7</v>
      </c>
      <c r="JD9" s="6">
        <v>1</v>
      </c>
      <c r="JE9" s="6">
        <v>12</v>
      </c>
      <c r="JF9" s="6" t="s">
        <v>15</v>
      </c>
      <c r="JG9" s="45">
        <v>4.1370000000000005</v>
      </c>
      <c r="JH9" s="6" t="s">
        <v>17</v>
      </c>
      <c r="JI9" s="6" t="s">
        <v>15</v>
      </c>
      <c r="JJ9" s="0" t="s">
        <v>362</v>
      </c>
      <c r="JK9" s="0" t="s">
        <v>363</v>
      </c>
      <c r="JL9" s="0" t="s">
        <v>363</v>
      </c>
      <c r="JM9" s="0" t="s">
        <v>118</v>
      </c>
      <c r="JN9" s="39">
        <v>0</v>
      </c>
      <c r="JO9" s="0" t="s">
        <v>363</v>
      </c>
      <c r="JP9" s="0" t="s">
        <v>117</v>
      </c>
      <c r="JQ9" s="0" t="s">
        <v>363</v>
      </c>
      <c r="JS9" s="46">
        <v>5.61736</v>
      </c>
      <c r="JT9" s="46">
        <v>4.890854166666665</v>
      </c>
      <c r="JU9" s="46">
        <v>4.066000000000001</v>
      </c>
      <c r="JV9" s="6" t="s">
        <v>15</v>
      </c>
      <c r="JW9" s="6">
        <v>8</v>
      </c>
      <c r="JX9" s="6">
        <v>2</v>
      </c>
      <c r="JY9" s="6">
        <v>13</v>
      </c>
      <c r="JZ9" s="6" t="s">
        <v>15</v>
      </c>
      <c r="KA9" s="45">
        <v>4.066000000000001</v>
      </c>
      <c r="KB9" s="6" t="s">
        <v>17</v>
      </c>
      <c r="KC9" s="6" t="s">
        <v>15</v>
      </c>
      <c r="KD9" s="0" t="s">
        <v>362</v>
      </c>
      <c r="KE9" s="0" t="s">
        <v>363</v>
      </c>
      <c r="KF9" s="0" t="s">
        <v>363</v>
      </c>
      <c r="KG9" s="0" t="s">
        <v>118</v>
      </c>
      <c r="KH9" s="39">
        <v>0</v>
      </c>
      <c r="KI9" s="0" t="s">
        <v>363</v>
      </c>
      <c r="KJ9" s="0" t="s">
        <v>117</v>
      </c>
      <c r="KK9" s="0" t="s">
        <v>363</v>
      </c>
      <c r="KM9" s="46">
        <v>9.99</v>
      </c>
      <c r="KN9" s="46">
        <v>9.99</v>
      </c>
      <c r="KO9" s="46">
        <v>9.99</v>
      </c>
      <c r="KP9" s="6" t="s">
        <v>15</v>
      </c>
      <c r="KQ9" s="6">
        <v>1</v>
      </c>
      <c r="KR9" s="6">
        <v>1</v>
      </c>
      <c r="KS9" s="6">
        <v>1</v>
      </c>
      <c r="KT9" s="6" t="s">
        <v>15</v>
      </c>
      <c r="KU9" s="45">
        <v>9.99</v>
      </c>
      <c r="KV9" s="6" t="s">
        <v>15</v>
      </c>
      <c r="KW9" s="6" t="s">
        <v>15</v>
      </c>
      <c r="KX9" s="0" t="s">
        <v>362</v>
      </c>
      <c r="KY9" s="0" t="s">
        <v>363</v>
      </c>
      <c r="KZ9" s="0" t="s">
        <v>136</v>
      </c>
      <c r="LA9" s="0" t="s">
        <v>108</v>
      </c>
      <c r="LB9" s="39">
        <v>1209524.74</v>
      </c>
      <c r="LC9" s="0" t="s">
        <v>363</v>
      </c>
      <c r="LD9" s="0" t="s">
        <v>124</v>
      </c>
      <c r="LE9" s="0" t="s">
        <v>363</v>
      </c>
    </row>
    <row r="10">
      <c r="A10" s="35" t="s">
        <v>341</v>
      </c>
      <c r="B10" s="36" t="s">
        <v>342</v>
      </c>
      <c r="C10" s="35" t="s">
        <v>384</v>
      </c>
      <c r="D10" s="36">
        <v>30029</v>
      </c>
      <c r="E10" s="36" t="s">
        <v>344</v>
      </c>
      <c r="F10" s="35" t="s">
        <v>345</v>
      </c>
      <c r="G10" s="35" t="s">
        <v>45</v>
      </c>
      <c r="H10" s="36" t="s">
        <v>385</v>
      </c>
      <c r="I10" s="35" t="s">
        <v>347</v>
      </c>
      <c r="J10" s="35"/>
      <c r="K10" s="35" t="s">
        <v>386</v>
      </c>
      <c r="L10" s="35" t="s">
        <v>387</v>
      </c>
      <c r="M10" s="35" t="s">
        <v>388</v>
      </c>
      <c r="N10" s="35" t="s">
        <v>377</v>
      </c>
      <c r="O10" s="37">
        <v>37</v>
      </c>
      <c r="P10" s="37">
        <v>899.1</v>
      </c>
      <c r="Q10" s="36" t="s">
        <v>15</v>
      </c>
      <c r="R10" s="35" t="s">
        <v>352</v>
      </c>
      <c r="S10" s="36" t="s">
        <v>368</v>
      </c>
      <c r="T10" s="35" t="s">
        <v>369</v>
      </c>
      <c r="U10" s="36" t="s">
        <v>15</v>
      </c>
      <c r="V10" s="36" t="s">
        <v>15</v>
      </c>
      <c r="W10" s="35" t="s">
        <v>62</v>
      </c>
      <c r="X10" s="36" t="s">
        <v>15</v>
      </c>
      <c r="Y10" s="36" t="s">
        <v>17</v>
      </c>
      <c r="Z10" s="38" t="s">
        <v>39</v>
      </c>
      <c r="AA10" s="36" t="s">
        <v>15</v>
      </c>
      <c r="AB10" s="35" t="s">
        <v>354</v>
      </c>
      <c r="AC10" s="36">
        <v>5</v>
      </c>
      <c r="AD10" s="36" t="s">
        <v>15</v>
      </c>
      <c r="AE10" s="36" t="s">
        <v>15</v>
      </c>
      <c r="AF10" s="36">
        <v>1960</v>
      </c>
      <c r="AG10" s="36">
        <v>67</v>
      </c>
      <c r="AH10" s="37">
        <v>50</v>
      </c>
      <c r="AI10" s="37">
        <v>212</v>
      </c>
      <c r="AJ10" s="37">
        <v>8</v>
      </c>
      <c r="AK10" s="36" t="s">
        <v>355</v>
      </c>
      <c r="AL10" s="37">
        <v>48</v>
      </c>
      <c r="AM10" s="35" t="s">
        <v>15</v>
      </c>
      <c r="AN10" s="35" t="s">
        <v>359</v>
      </c>
      <c r="AO10" s="36" t="s">
        <v>356</v>
      </c>
      <c r="AP10" s="36" t="s">
        <v>15</v>
      </c>
      <c r="AQ10" s="35" t="s">
        <v>357</v>
      </c>
      <c r="AR10" s="36" t="s">
        <v>15</v>
      </c>
      <c r="AS10" s="36" t="s">
        <v>15</v>
      </c>
      <c r="AT10" s="36" t="s">
        <v>17</v>
      </c>
      <c r="AU10" s="36" t="s">
        <v>15</v>
      </c>
      <c r="AV10" s="36" t="s">
        <v>17</v>
      </c>
      <c r="AW10" s="36" t="s">
        <v>15</v>
      </c>
      <c r="AX10" s="41" t="s">
        <v>371</v>
      </c>
      <c r="AY10" s="42">
        <v>404595</v>
      </c>
      <c r="AZ10" s="41" t="s">
        <v>359</v>
      </c>
      <c r="BA10" s="42">
        <v>0</v>
      </c>
      <c r="BB10" s="41" t="s">
        <v>359</v>
      </c>
      <c r="BC10" s="42">
        <v>0</v>
      </c>
      <c r="BD10" s="41" t="s">
        <v>359</v>
      </c>
      <c r="BE10" s="42">
        <v>0</v>
      </c>
      <c r="BF10" s="41" t="s">
        <v>359</v>
      </c>
      <c r="BG10" s="42">
        <v>0</v>
      </c>
      <c r="BH10" s="41" t="s">
        <v>359</v>
      </c>
      <c r="BI10" s="42">
        <v>0</v>
      </c>
      <c r="BJ10" s="41" t="s">
        <v>359</v>
      </c>
      <c r="BK10" s="42">
        <v>0</v>
      </c>
      <c r="BL10" s="41" t="s">
        <v>359</v>
      </c>
      <c r="BM10" s="42">
        <v>0</v>
      </c>
      <c r="BN10" s="41" t="s">
        <v>359</v>
      </c>
      <c r="BO10" s="42">
        <v>0</v>
      </c>
      <c r="BP10" s="41" t="s">
        <v>359</v>
      </c>
      <c r="BQ10" s="42">
        <v>0</v>
      </c>
      <c r="BR10" s="41" t="s">
        <v>359</v>
      </c>
      <c r="BS10" s="42">
        <v>0</v>
      </c>
      <c r="BT10" s="36" t="s">
        <v>360</v>
      </c>
      <c r="BU10" s="36" t="s">
        <v>359</v>
      </c>
      <c r="BV10" s="35"/>
      <c r="BW10" s="35" t="s">
        <v>361</v>
      </c>
      <c r="BX10" s="35" t="s">
        <v>359</v>
      </c>
      <c r="BY10" s="35" t="s">
        <v>359</v>
      </c>
      <c r="BZ10" s="35" t="s">
        <v>359</v>
      </c>
      <c r="CA10" s="35" t="s">
        <v>359</v>
      </c>
      <c r="CB10" s="35" t="s">
        <v>359</v>
      </c>
      <c r="CC10" s="35" t="s">
        <v>359</v>
      </c>
      <c r="CD10" s="35" t="s">
        <v>359</v>
      </c>
      <c r="CE10" s="35" t="s">
        <v>359</v>
      </c>
      <c r="CF10" s="35" t="s">
        <v>359</v>
      </c>
      <c r="CG10" s="35" t="s">
        <v>359</v>
      </c>
      <c r="CI10" s="47">
        <v>4.294</v>
      </c>
      <c r="CJ10" s="47">
        <v>4.3020000000000005</v>
      </c>
      <c r="CK10" s="47">
        <v>5.512000000000001</v>
      </c>
      <c r="CL10" s="36" t="s">
        <v>15</v>
      </c>
      <c r="CM10" s="36">
        <v>12</v>
      </c>
      <c r="CN10" s="36">
        <v>12</v>
      </c>
      <c r="CO10" s="36">
        <v>12</v>
      </c>
      <c r="CP10" s="36" t="s">
        <v>15</v>
      </c>
      <c r="CQ10" s="48">
        <v>4.294</v>
      </c>
      <c r="CR10" s="36" t="s">
        <v>17</v>
      </c>
      <c r="CS10" s="36" t="s">
        <v>17</v>
      </c>
      <c r="CU10" s="47">
        <v>9.99</v>
      </c>
      <c r="CV10" s="47">
        <v>9.99</v>
      </c>
      <c r="CW10" s="47">
        <v>6.99</v>
      </c>
      <c r="CX10" s="36" t="s">
        <v>15</v>
      </c>
      <c r="CY10" s="36">
        <v>1</v>
      </c>
      <c r="CZ10" s="36">
        <v>1</v>
      </c>
      <c r="DA10" s="36">
        <v>1</v>
      </c>
      <c r="DB10" s="36" t="s">
        <v>15</v>
      </c>
      <c r="DC10" s="48">
        <v>6.99</v>
      </c>
      <c r="DD10" s="36" t="s">
        <v>15</v>
      </c>
      <c r="DE10" s="36" t="s">
        <v>17</v>
      </c>
      <c r="DF10" s="35" t="s">
        <v>362</v>
      </c>
      <c r="DG10" s="35" t="s">
        <v>363</v>
      </c>
      <c r="DH10" s="35" t="s">
        <v>136</v>
      </c>
      <c r="DI10" s="35" t="s">
        <v>128</v>
      </c>
      <c r="DJ10" s="40">
        <v>404595</v>
      </c>
      <c r="DK10" s="35" t="s">
        <v>363</v>
      </c>
      <c r="DL10" s="35" t="s">
        <v>122</v>
      </c>
      <c r="DM10" s="35" t="s">
        <v>363</v>
      </c>
      <c r="DO10" s="47">
        <v>9.790000000000001</v>
      </c>
      <c r="DP10" s="47">
        <v>9.790000000000001</v>
      </c>
      <c r="DQ10" s="47">
        <v>6.931</v>
      </c>
      <c r="DR10" s="36" t="s">
        <v>15</v>
      </c>
      <c r="DS10" s="36">
        <v>2</v>
      </c>
      <c r="DT10" s="36">
        <v>2</v>
      </c>
      <c r="DU10" s="36">
        <v>2</v>
      </c>
      <c r="DV10" s="36" t="s">
        <v>15</v>
      </c>
      <c r="DW10" s="48">
        <v>6.931</v>
      </c>
      <c r="DX10" s="36" t="s">
        <v>15</v>
      </c>
      <c r="DY10" s="36" t="s">
        <v>17</v>
      </c>
      <c r="DZ10" s="35" t="s">
        <v>362</v>
      </c>
      <c r="EA10" s="35" t="s">
        <v>363</v>
      </c>
      <c r="EB10" s="35" t="s">
        <v>363</v>
      </c>
      <c r="EC10" s="35" t="s">
        <v>118</v>
      </c>
      <c r="ED10" s="40">
        <v>0</v>
      </c>
      <c r="EE10" s="35" t="s">
        <v>363</v>
      </c>
      <c r="EF10" s="35" t="s">
        <v>117</v>
      </c>
      <c r="EG10" s="35" t="s">
        <v>363</v>
      </c>
      <c r="EI10" s="47">
        <v>9.59</v>
      </c>
      <c r="EJ10" s="47">
        <v>9.59</v>
      </c>
      <c r="EK10" s="47">
        <v>6.872000000000001</v>
      </c>
      <c r="EL10" s="36" t="s">
        <v>15</v>
      </c>
      <c r="EM10" s="36">
        <v>3</v>
      </c>
      <c r="EN10" s="36">
        <v>3</v>
      </c>
      <c r="EO10" s="36">
        <v>3</v>
      </c>
      <c r="EP10" s="36" t="s">
        <v>15</v>
      </c>
      <c r="EQ10" s="48">
        <v>6.872000000000001</v>
      </c>
      <c r="ER10" s="36" t="s">
        <v>15</v>
      </c>
      <c r="ES10" s="36" t="s">
        <v>17</v>
      </c>
      <c r="ET10" s="35" t="s">
        <v>362</v>
      </c>
      <c r="EU10" s="35" t="s">
        <v>363</v>
      </c>
      <c r="EV10" s="35" t="s">
        <v>363</v>
      </c>
      <c r="EW10" s="35" t="s">
        <v>118</v>
      </c>
      <c r="EX10" s="40">
        <v>0</v>
      </c>
      <c r="EY10" s="35" t="s">
        <v>363</v>
      </c>
      <c r="EZ10" s="35" t="s">
        <v>117</v>
      </c>
      <c r="FA10" s="35" t="s">
        <v>363</v>
      </c>
      <c r="FC10" s="47">
        <v>9.39</v>
      </c>
      <c r="FD10" s="47">
        <v>9.39</v>
      </c>
      <c r="FE10" s="47">
        <v>6.813000000000001</v>
      </c>
      <c r="FF10" s="36" t="s">
        <v>15</v>
      </c>
      <c r="FG10" s="36">
        <v>4</v>
      </c>
      <c r="FH10" s="36">
        <v>4</v>
      </c>
      <c r="FI10" s="36">
        <v>4</v>
      </c>
      <c r="FJ10" s="36" t="s">
        <v>15</v>
      </c>
      <c r="FK10" s="48">
        <v>6.813000000000001</v>
      </c>
      <c r="FL10" s="36" t="s">
        <v>15</v>
      </c>
      <c r="FM10" s="36" t="s">
        <v>17</v>
      </c>
      <c r="FN10" s="35" t="s">
        <v>362</v>
      </c>
      <c r="FO10" s="35" t="s">
        <v>363</v>
      </c>
      <c r="FP10" s="35" t="s">
        <v>363</v>
      </c>
      <c r="FQ10" s="35" t="s">
        <v>118</v>
      </c>
      <c r="FR10" s="40">
        <v>0</v>
      </c>
      <c r="FS10" s="35" t="s">
        <v>363</v>
      </c>
      <c r="FT10" s="35" t="s">
        <v>117</v>
      </c>
      <c r="FU10" s="35" t="s">
        <v>363</v>
      </c>
      <c r="FW10" s="47">
        <v>9.19</v>
      </c>
      <c r="FX10" s="47">
        <v>9.19</v>
      </c>
      <c r="FY10" s="47">
        <v>6.7540000000000004</v>
      </c>
      <c r="FZ10" s="36" t="s">
        <v>15</v>
      </c>
      <c r="GA10" s="36">
        <v>5</v>
      </c>
      <c r="GB10" s="36">
        <v>5</v>
      </c>
      <c r="GC10" s="36">
        <v>5</v>
      </c>
      <c r="GD10" s="36" t="s">
        <v>15</v>
      </c>
      <c r="GE10" s="48">
        <v>6.7540000000000004</v>
      </c>
      <c r="GF10" s="36" t="s">
        <v>15</v>
      </c>
      <c r="GG10" s="36" t="s">
        <v>17</v>
      </c>
      <c r="GH10" s="35" t="s">
        <v>362</v>
      </c>
      <c r="GI10" s="35" t="s">
        <v>363</v>
      </c>
      <c r="GJ10" s="35" t="s">
        <v>363</v>
      </c>
      <c r="GK10" s="35" t="s">
        <v>118</v>
      </c>
      <c r="GL10" s="40">
        <v>0</v>
      </c>
      <c r="GM10" s="35" t="s">
        <v>363</v>
      </c>
      <c r="GN10" s="35" t="s">
        <v>117</v>
      </c>
      <c r="GO10" s="35" t="s">
        <v>363</v>
      </c>
      <c r="GQ10" s="47">
        <v>8.99375</v>
      </c>
      <c r="GR10" s="47">
        <v>8.99685</v>
      </c>
      <c r="GS10" s="47">
        <v>6.695</v>
      </c>
      <c r="GT10" s="36" t="s">
        <v>15</v>
      </c>
      <c r="GU10" s="36">
        <v>1</v>
      </c>
      <c r="GV10" s="36">
        <v>1</v>
      </c>
      <c r="GW10" s="36">
        <v>6</v>
      </c>
      <c r="GX10" s="36" t="s">
        <v>15</v>
      </c>
      <c r="GY10" s="48">
        <v>6.695</v>
      </c>
      <c r="GZ10" s="36" t="s">
        <v>15</v>
      </c>
      <c r="HA10" s="36" t="s">
        <v>17</v>
      </c>
      <c r="HB10" s="35" t="s">
        <v>362</v>
      </c>
      <c r="HC10" s="35" t="s">
        <v>363</v>
      </c>
      <c r="HD10" s="35" t="s">
        <v>363</v>
      </c>
      <c r="HE10" s="35" t="s">
        <v>118</v>
      </c>
      <c r="HF10" s="40">
        <v>0</v>
      </c>
      <c r="HG10" s="35" t="s">
        <v>363</v>
      </c>
      <c r="HH10" s="35" t="s">
        <v>117</v>
      </c>
      <c r="HI10" s="35" t="s">
        <v>363</v>
      </c>
      <c r="HK10" s="47">
        <v>8.86875</v>
      </c>
      <c r="HL10" s="47">
        <v>8.93385</v>
      </c>
      <c r="HM10" s="47">
        <v>6.636</v>
      </c>
      <c r="HN10" s="36" t="s">
        <v>15</v>
      </c>
      <c r="HO10" s="36">
        <v>2</v>
      </c>
      <c r="HP10" s="36">
        <v>2</v>
      </c>
      <c r="HQ10" s="36">
        <v>7</v>
      </c>
      <c r="HR10" s="36" t="s">
        <v>15</v>
      </c>
      <c r="HS10" s="48">
        <v>6.636</v>
      </c>
      <c r="HT10" s="36" t="s">
        <v>15</v>
      </c>
      <c r="HU10" s="36" t="s">
        <v>17</v>
      </c>
      <c r="HV10" s="35" t="s">
        <v>362</v>
      </c>
      <c r="HW10" s="35" t="s">
        <v>363</v>
      </c>
      <c r="HX10" s="35" t="s">
        <v>363</v>
      </c>
      <c r="HY10" s="35" t="s">
        <v>118</v>
      </c>
      <c r="HZ10" s="40">
        <v>0</v>
      </c>
      <c r="IA10" s="35" t="s">
        <v>363</v>
      </c>
      <c r="IB10" s="35" t="s">
        <v>117</v>
      </c>
      <c r="IC10" s="35" t="s">
        <v>363</v>
      </c>
      <c r="IE10" s="47">
        <v>8.74375</v>
      </c>
      <c r="IF10" s="47">
        <v>8.87085</v>
      </c>
      <c r="IG10" s="47">
        <v>6.577000000000001</v>
      </c>
      <c r="IH10" s="36" t="s">
        <v>15</v>
      </c>
      <c r="II10" s="36">
        <v>3</v>
      </c>
      <c r="IJ10" s="36">
        <v>3</v>
      </c>
      <c r="IK10" s="36">
        <v>8</v>
      </c>
      <c r="IL10" s="36" t="s">
        <v>15</v>
      </c>
      <c r="IM10" s="48">
        <v>6.577000000000001</v>
      </c>
      <c r="IN10" s="36" t="s">
        <v>15</v>
      </c>
      <c r="IO10" s="36" t="s">
        <v>17</v>
      </c>
      <c r="IP10" s="35" t="s">
        <v>362</v>
      </c>
      <c r="IQ10" s="35" t="s">
        <v>363</v>
      </c>
      <c r="IR10" s="35" t="s">
        <v>363</v>
      </c>
      <c r="IS10" s="35" t="s">
        <v>118</v>
      </c>
      <c r="IT10" s="40">
        <v>0</v>
      </c>
      <c r="IU10" s="35" t="s">
        <v>363</v>
      </c>
      <c r="IV10" s="35" t="s">
        <v>117</v>
      </c>
      <c r="IW10" s="35" t="s">
        <v>363</v>
      </c>
      <c r="IY10" s="47">
        <v>8.61875</v>
      </c>
      <c r="IZ10" s="47">
        <v>8.80785</v>
      </c>
      <c r="JA10" s="47">
        <v>6.518000000000001</v>
      </c>
      <c r="JB10" s="36" t="s">
        <v>15</v>
      </c>
      <c r="JC10" s="36">
        <v>4</v>
      </c>
      <c r="JD10" s="36">
        <v>4</v>
      </c>
      <c r="JE10" s="36">
        <v>9</v>
      </c>
      <c r="JF10" s="36" t="s">
        <v>15</v>
      </c>
      <c r="JG10" s="48">
        <v>6.518000000000001</v>
      </c>
      <c r="JH10" s="36" t="s">
        <v>15</v>
      </c>
      <c r="JI10" s="36" t="s">
        <v>17</v>
      </c>
      <c r="JJ10" s="35" t="s">
        <v>362</v>
      </c>
      <c r="JK10" s="35" t="s">
        <v>363</v>
      </c>
      <c r="JL10" s="35" t="s">
        <v>363</v>
      </c>
      <c r="JM10" s="35" t="s">
        <v>118</v>
      </c>
      <c r="JN10" s="40">
        <v>0</v>
      </c>
      <c r="JO10" s="35" t="s">
        <v>363</v>
      </c>
      <c r="JP10" s="35" t="s">
        <v>117</v>
      </c>
      <c r="JQ10" s="35" t="s">
        <v>363</v>
      </c>
      <c r="JS10" s="47">
        <v>8.49375</v>
      </c>
      <c r="JT10" s="47">
        <v>8.74485</v>
      </c>
      <c r="JU10" s="47">
        <v>6.4590000000000005</v>
      </c>
      <c r="JV10" s="36" t="s">
        <v>15</v>
      </c>
      <c r="JW10" s="36">
        <v>5</v>
      </c>
      <c r="JX10" s="36">
        <v>5</v>
      </c>
      <c r="JY10" s="36">
        <v>10</v>
      </c>
      <c r="JZ10" s="36" t="s">
        <v>15</v>
      </c>
      <c r="KA10" s="48">
        <v>6.4590000000000005</v>
      </c>
      <c r="KB10" s="36" t="s">
        <v>15</v>
      </c>
      <c r="KC10" s="36" t="s">
        <v>17</v>
      </c>
      <c r="KD10" s="35" t="s">
        <v>362</v>
      </c>
      <c r="KE10" s="35" t="s">
        <v>363</v>
      </c>
      <c r="KF10" s="35" t="s">
        <v>363</v>
      </c>
      <c r="KG10" s="35" t="s">
        <v>118</v>
      </c>
      <c r="KH10" s="40">
        <v>0</v>
      </c>
      <c r="KI10" s="35" t="s">
        <v>363</v>
      </c>
      <c r="KJ10" s="35" t="s">
        <v>117</v>
      </c>
      <c r="KK10" s="35" t="s">
        <v>363</v>
      </c>
      <c r="KM10" s="47">
        <v>8.36875</v>
      </c>
      <c r="KN10" s="47">
        <v>8.68185</v>
      </c>
      <c r="KO10" s="47">
        <v>6.4</v>
      </c>
      <c r="KP10" s="36" t="s">
        <v>15</v>
      </c>
      <c r="KQ10" s="36">
        <v>6</v>
      </c>
      <c r="KR10" s="36">
        <v>6</v>
      </c>
      <c r="KS10" s="36">
        <v>11</v>
      </c>
      <c r="KT10" s="36" t="s">
        <v>15</v>
      </c>
      <c r="KU10" s="48">
        <v>6.4</v>
      </c>
      <c r="KV10" s="36" t="s">
        <v>15</v>
      </c>
      <c r="KW10" s="36" t="s">
        <v>17</v>
      </c>
      <c r="KX10" s="35" t="s">
        <v>362</v>
      </c>
      <c r="KY10" s="35" t="s">
        <v>363</v>
      </c>
      <c r="KZ10" s="35" t="s">
        <v>363</v>
      </c>
      <c r="LA10" s="35" t="s">
        <v>118</v>
      </c>
      <c r="LB10" s="40">
        <v>0</v>
      </c>
      <c r="LC10" s="35" t="s">
        <v>363</v>
      </c>
      <c r="LD10" s="35" t="s">
        <v>117</v>
      </c>
      <c r="LE10" s="35" t="s">
        <v>363</v>
      </c>
    </row>
    <row r="11">
      <c r="A11" s="0" t="s">
        <v>341</v>
      </c>
      <c r="B11" s="6" t="s">
        <v>342</v>
      </c>
      <c r="C11" s="0" t="s">
        <v>389</v>
      </c>
      <c r="D11" s="6">
        <v>30030</v>
      </c>
      <c r="E11" s="6" t="s">
        <v>344</v>
      </c>
      <c r="F11" s="0" t="s">
        <v>345</v>
      </c>
      <c r="G11" s="0" t="s">
        <v>40</v>
      </c>
      <c r="H11" s="6" t="s">
        <v>346</v>
      </c>
      <c r="I11" s="0" t="s">
        <v>347</v>
      </c>
      <c r="K11" s="0" t="s">
        <v>390</v>
      </c>
      <c r="L11" s="0" t="s">
        <v>391</v>
      </c>
      <c r="M11" s="0" t="s">
        <v>392</v>
      </c>
      <c r="N11" s="0" t="s">
        <v>351</v>
      </c>
      <c r="O11" s="33">
        <v>43</v>
      </c>
      <c r="P11" s="33">
        <v>1040.6</v>
      </c>
      <c r="Q11" s="6" t="s">
        <v>15</v>
      </c>
      <c r="R11" s="0" t="s">
        <v>352</v>
      </c>
      <c r="S11" s="6" t="s">
        <v>368</v>
      </c>
      <c r="T11" s="0" t="s">
        <v>369</v>
      </c>
      <c r="U11" s="6" t="s">
        <v>15</v>
      </c>
      <c r="V11" s="6" t="s">
        <v>15</v>
      </c>
      <c r="W11" s="0" t="s">
        <v>62</v>
      </c>
      <c r="X11" s="6" t="s">
        <v>15</v>
      </c>
      <c r="Y11" s="6" t="s">
        <v>17</v>
      </c>
      <c r="Z11" s="34" t="s">
        <v>39</v>
      </c>
      <c r="AA11" s="6" t="s">
        <v>15</v>
      </c>
      <c r="AB11" s="0" t="s">
        <v>354</v>
      </c>
      <c r="AC11" s="6">
        <v>5</v>
      </c>
      <c r="AD11" s="6" t="s">
        <v>15</v>
      </c>
      <c r="AE11" s="6" t="s">
        <v>15</v>
      </c>
      <c r="AF11" s="6">
        <v>1956</v>
      </c>
      <c r="AG11" s="6">
        <v>71</v>
      </c>
      <c r="AH11" s="33">
        <v>50</v>
      </c>
      <c r="AI11" s="33">
        <v>228</v>
      </c>
      <c r="AJ11" s="33">
        <v>5</v>
      </c>
      <c r="AK11" s="6" t="s">
        <v>355</v>
      </c>
      <c r="AL11" s="33">
        <v>34</v>
      </c>
      <c r="AM11" s="0" t="s">
        <v>15</v>
      </c>
      <c r="AN11" s="0" t="s">
        <v>359</v>
      </c>
      <c r="AO11" s="6" t="s">
        <v>356</v>
      </c>
      <c r="AP11" s="6" t="s">
        <v>15</v>
      </c>
      <c r="AQ11" s="0" t="s">
        <v>357</v>
      </c>
      <c r="AR11" s="6" t="s">
        <v>15</v>
      </c>
      <c r="AS11" s="6" t="s">
        <v>15</v>
      </c>
      <c r="AT11" s="6" t="s">
        <v>17</v>
      </c>
      <c r="AU11" s="6" t="s">
        <v>15</v>
      </c>
      <c r="AV11" s="6" t="s">
        <v>17</v>
      </c>
      <c r="AW11" s="6" t="s">
        <v>15</v>
      </c>
      <c r="AX11" s="43" t="s">
        <v>371</v>
      </c>
      <c r="AY11" s="44">
        <v>468270</v>
      </c>
      <c r="AZ11" s="43" t="s">
        <v>359</v>
      </c>
      <c r="BA11" s="44">
        <v>0</v>
      </c>
      <c r="BB11" s="43" t="s">
        <v>359</v>
      </c>
      <c r="BC11" s="44">
        <v>0</v>
      </c>
      <c r="BD11" s="43" t="s">
        <v>359</v>
      </c>
      <c r="BE11" s="44">
        <v>0</v>
      </c>
      <c r="BF11" s="43" t="s">
        <v>359</v>
      </c>
      <c r="BG11" s="44">
        <v>0</v>
      </c>
      <c r="BH11" s="43" t="s">
        <v>359</v>
      </c>
      <c r="BI11" s="44">
        <v>0</v>
      </c>
      <c r="BJ11" s="43" t="s">
        <v>359</v>
      </c>
      <c r="BK11" s="44">
        <v>0</v>
      </c>
      <c r="BL11" s="43" t="s">
        <v>359</v>
      </c>
      <c r="BM11" s="44">
        <v>0</v>
      </c>
      <c r="BN11" s="43" t="s">
        <v>359</v>
      </c>
      <c r="BO11" s="44">
        <v>0</v>
      </c>
      <c r="BP11" s="43" t="s">
        <v>359</v>
      </c>
      <c r="BQ11" s="44">
        <v>0</v>
      </c>
      <c r="BR11" s="43" t="s">
        <v>393</v>
      </c>
      <c r="BS11" s="44">
        <v>27969.59</v>
      </c>
      <c r="BT11" s="6" t="s">
        <v>360</v>
      </c>
      <c r="BU11" s="6" t="s">
        <v>360</v>
      </c>
      <c r="BW11" s="0" t="s">
        <v>361</v>
      </c>
      <c r="BX11" s="0" t="s">
        <v>359</v>
      </c>
      <c r="BY11" s="0" t="s">
        <v>359</v>
      </c>
      <c r="BZ11" s="0" t="s">
        <v>359</v>
      </c>
      <c r="CA11" s="0" t="s">
        <v>359</v>
      </c>
      <c r="CB11" s="0" t="s">
        <v>359</v>
      </c>
      <c r="CC11" s="0" t="s">
        <v>359</v>
      </c>
      <c r="CD11" s="0" t="s">
        <v>359</v>
      </c>
      <c r="CE11" s="0" t="s">
        <v>359</v>
      </c>
      <c r="CF11" s="0" t="s">
        <v>359</v>
      </c>
      <c r="CG11" s="0" t="s">
        <v>359</v>
      </c>
      <c r="CI11" s="46">
        <v>2.9560000000000004</v>
      </c>
      <c r="CJ11" s="46">
        <v>2.9210000000000016</v>
      </c>
      <c r="CK11" s="46">
        <v>6.519</v>
      </c>
      <c r="CL11" s="6" t="s">
        <v>15</v>
      </c>
      <c r="CM11" s="6">
        <v>1</v>
      </c>
      <c r="CN11" s="6">
        <v>1</v>
      </c>
      <c r="CO11" s="6">
        <v>12</v>
      </c>
      <c r="CP11" s="6" t="s">
        <v>15</v>
      </c>
      <c r="CQ11" s="49">
        <v>2.9210000000000016</v>
      </c>
      <c r="CR11" s="6" t="s">
        <v>17</v>
      </c>
      <c r="CS11" s="6" t="s">
        <v>17</v>
      </c>
      <c r="CU11" s="46">
        <v>9.99</v>
      </c>
      <c r="CV11" s="46">
        <v>9.99</v>
      </c>
      <c r="CW11" s="46">
        <v>7.519</v>
      </c>
      <c r="CX11" s="6" t="s">
        <v>15</v>
      </c>
      <c r="CY11" s="6">
        <v>1</v>
      </c>
      <c r="CZ11" s="6">
        <v>1</v>
      </c>
      <c r="DA11" s="6">
        <v>1</v>
      </c>
      <c r="DB11" s="6" t="s">
        <v>15</v>
      </c>
      <c r="DC11" s="45">
        <v>7.519</v>
      </c>
      <c r="DD11" s="6" t="s">
        <v>15</v>
      </c>
      <c r="DE11" s="6" t="s">
        <v>17</v>
      </c>
      <c r="DF11" s="0" t="s">
        <v>362</v>
      </c>
      <c r="DG11" s="0" t="s">
        <v>363</v>
      </c>
      <c r="DH11" s="0" t="s">
        <v>136</v>
      </c>
      <c r="DI11" s="0" t="s">
        <v>128</v>
      </c>
      <c r="DJ11" s="39">
        <v>468270</v>
      </c>
      <c r="DK11" s="0" t="s">
        <v>363</v>
      </c>
      <c r="DL11" s="0" t="s">
        <v>122</v>
      </c>
      <c r="DM11" s="0" t="s">
        <v>363</v>
      </c>
      <c r="DO11" s="46">
        <v>9.790000000000001</v>
      </c>
      <c r="DP11" s="46">
        <v>9.790000000000001</v>
      </c>
      <c r="DQ11" s="46">
        <v>7.474</v>
      </c>
      <c r="DR11" s="6" t="s">
        <v>15</v>
      </c>
      <c r="DS11" s="6">
        <v>2</v>
      </c>
      <c r="DT11" s="6">
        <v>2</v>
      </c>
      <c r="DU11" s="6">
        <v>2</v>
      </c>
      <c r="DV11" s="6" t="s">
        <v>15</v>
      </c>
      <c r="DW11" s="45">
        <v>7.474</v>
      </c>
      <c r="DX11" s="6" t="s">
        <v>15</v>
      </c>
      <c r="DY11" s="6" t="s">
        <v>17</v>
      </c>
      <c r="DZ11" s="0" t="s">
        <v>362</v>
      </c>
      <c r="EA11" s="0" t="s">
        <v>363</v>
      </c>
      <c r="EB11" s="0" t="s">
        <v>363</v>
      </c>
      <c r="EC11" s="0" t="s">
        <v>118</v>
      </c>
      <c r="ED11" s="39">
        <v>0</v>
      </c>
      <c r="EE11" s="0" t="s">
        <v>363</v>
      </c>
      <c r="EF11" s="0" t="s">
        <v>117</v>
      </c>
      <c r="EG11" s="0" t="s">
        <v>363</v>
      </c>
      <c r="EI11" s="46">
        <v>9.59</v>
      </c>
      <c r="EJ11" s="46">
        <v>9.59</v>
      </c>
      <c r="EK11" s="46">
        <v>7.429</v>
      </c>
      <c r="EL11" s="6" t="s">
        <v>15</v>
      </c>
      <c r="EM11" s="6">
        <v>3</v>
      </c>
      <c r="EN11" s="6">
        <v>3</v>
      </c>
      <c r="EO11" s="6">
        <v>3</v>
      </c>
      <c r="EP11" s="6" t="s">
        <v>15</v>
      </c>
      <c r="EQ11" s="45">
        <v>7.429</v>
      </c>
      <c r="ER11" s="6" t="s">
        <v>15</v>
      </c>
      <c r="ES11" s="6" t="s">
        <v>17</v>
      </c>
      <c r="ET11" s="0" t="s">
        <v>362</v>
      </c>
      <c r="EU11" s="0" t="s">
        <v>363</v>
      </c>
      <c r="EV11" s="0" t="s">
        <v>363</v>
      </c>
      <c r="EW11" s="0" t="s">
        <v>118</v>
      </c>
      <c r="EX11" s="39">
        <v>0</v>
      </c>
      <c r="EY11" s="0" t="s">
        <v>363</v>
      </c>
      <c r="EZ11" s="0" t="s">
        <v>117</v>
      </c>
      <c r="FA11" s="0" t="s">
        <v>363</v>
      </c>
      <c r="FC11" s="46">
        <v>9.39</v>
      </c>
      <c r="FD11" s="46">
        <v>9.39</v>
      </c>
      <c r="FE11" s="46">
        <v>7.384</v>
      </c>
      <c r="FF11" s="6" t="s">
        <v>15</v>
      </c>
      <c r="FG11" s="6">
        <v>4</v>
      </c>
      <c r="FH11" s="6">
        <v>4</v>
      </c>
      <c r="FI11" s="6">
        <v>4</v>
      </c>
      <c r="FJ11" s="6" t="s">
        <v>15</v>
      </c>
      <c r="FK11" s="45">
        <v>7.384</v>
      </c>
      <c r="FL11" s="6" t="s">
        <v>15</v>
      </c>
      <c r="FM11" s="6" t="s">
        <v>17</v>
      </c>
      <c r="FN11" s="0" t="s">
        <v>362</v>
      </c>
      <c r="FO11" s="0" t="s">
        <v>363</v>
      </c>
      <c r="FP11" s="0" t="s">
        <v>363</v>
      </c>
      <c r="FQ11" s="0" t="s">
        <v>118</v>
      </c>
      <c r="FR11" s="39">
        <v>0</v>
      </c>
      <c r="FS11" s="0" t="s">
        <v>363</v>
      </c>
      <c r="FT11" s="0" t="s">
        <v>117</v>
      </c>
      <c r="FU11" s="0" t="s">
        <v>363</v>
      </c>
      <c r="FW11" s="46">
        <v>9.19</v>
      </c>
      <c r="FX11" s="46">
        <v>9.19</v>
      </c>
      <c r="FY11" s="46">
        <v>7.339</v>
      </c>
      <c r="FZ11" s="6" t="s">
        <v>15</v>
      </c>
      <c r="GA11" s="6">
        <v>5</v>
      </c>
      <c r="GB11" s="6">
        <v>5</v>
      </c>
      <c r="GC11" s="6">
        <v>5</v>
      </c>
      <c r="GD11" s="6" t="s">
        <v>15</v>
      </c>
      <c r="GE11" s="45">
        <v>7.339</v>
      </c>
      <c r="GF11" s="6" t="s">
        <v>15</v>
      </c>
      <c r="GG11" s="6" t="s">
        <v>17</v>
      </c>
      <c r="GH11" s="0" t="s">
        <v>362</v>
      </c>
      <c r="GI11" s="0" t="s">
        <v>363</v>
      </c>
      <c r="GJ11" s="0" t="s">
        <v>363</v>
      </c>
      <c r="GK11" s="0" t="s">
        <v>118</v>
      </c>
      <c r="GL11" s="39">
        <v>0</v>
      </c>
      <c r="GM11" s="0" t="s">
        <v>363</v>
      </c>
      <c r="GN11" s="0" t="s">
        <v>117</v>
      </c>
      <c r="GO11" s="0" t="s">
        <v>363</v>
      </c>
      <c r="GQ11" s="46">
        <v>8.99375</v>
      </c>
      <c r="GR11" s="46">
        <v>8.99685</v>
      </c>
      <c r="GS11" s="46">
        <v>7.2940000000000005</v>
      </c>
      <c r="GT11" s="6" t="s">
        <v>15</v>
      </c>
      <c r="GU11" s="6">
        <v>1</v>
      </c>
      <c r="GV11" s="6">
        <v>1</v>
      </c>
      <c r="GW11" s="6">
        <v>6</v>
      </c>
      <c r="GX11" s="6" t="s">
        <v>15</v>
      </c>
      <c r="GY11" s="45">
        <v>7.2940000000000005</v>
      </c>
      <c r="GZ11" s="6" t="s">
        <v>15</v>
      </c>
      <c r="HA11" s="6" t="s">
        <v>17</v>
      </c>
      <c r="HB11" s="0" t="s">
        <v>362</v>
      </c>
      <c r="HC11" s="0" t="s">
        <v>363</v>
      </c>
      <c r="HD11" s="0" t="s">
        <v>363</v>
      </c>
      <c r="HE11" s="0" t="s">
        <v>118</v>
      </c>
      <c r="HF11" s="39">
        <v>0</v>
      </c>
      <c r="HG11" s="0" t="s">
        <v>363</v>
      </c>
      <c r="HH11" s="0" t="s">
        <v>117</v>
      </c>
      <c r="HI11" s="0" t="s">
        <v>363</v>
      </c>
      <c r="HK11" s="46">
        <v>8.86875</v>
      </c>
      <c r="HL11" s="46">
        <v>8.93385</v>
      </c>
      <c r="HM11" s="46">
        <v>7.2490000000000006</v>
      </c>
      <c r="HN11" s="6" t="s">
        <v>15</v>
      </c>
      <c r="HO11" s="6">
        <v>2</v>
      </c>
      <c r="HP11" s="6">
        <v>2</v>
      </c>
      <c r="HQ11" s="6">
        <v>7</v>
      </c>
      <c r="HR11" s="6" t="s">
        <v>15</v>
      </c>
      <c r="HS11" s="45">
        <v>7.2490000000000006</v>
      </c>
      <c r="HT11" s="6" t="s">
        <v>15</v>
      </c>
      <c r="HU11" s="6" t="s">
        <v>17</v>
      </c>
      <c r="HV11" s="0" t="s">
        <v>362</v>
      </c>
      <c r="HW11" s="0" t="s">
        <v>363</v>
      </c>
      <c r="HX11" s="0" t="s">
        <v>363</v>
      </c>
      <c r="HY11" s="0" t="s">
        <v>118</v>
      </c>
      <c r="HZ11" s="39">
        <v>0</v>
      </c>
      <c r="IA11" s="0" t="s">
        <v>363</v>
      </c>
      <c r="IB11" s="0" t="s">
        <v>117</v>
      </c>
      <c r="IC11" s="0" t="s">
        <v>363</v>
      </c>
      <c r="IE11" s="46">
        <v>8.74375</v>
      </c>
      <c r="IF11" s="46">
        <v>8.87085</v>
      </c>
      <c r="IG11" s="46">
        <v>7.204000000000001</v>
      </c>
      <c r="IH11" s="6" t="s">
        <v>15</v>
      </c>
      <c r="II11" s="6">
        <v>3</v>
      </c>
      <c r="IJ11" s="6">
        <v>3</v>
      </c>
      <c r="IK11" s="6">
        <v>8</v>
      </c>
      <c r="IL11" s="6" t="s">
        <v>15</v>
      </c>
      <c r="IM11" s="45">
        <v>7.204000000000001</v>
      </c>
      <c r="IN11" s="6" t="s">
        <v>15</v>
      </c>
      <c r="IO11" s="6" t="s">
        <v>17</v>
      </c>
      <c r="IP11" s="0" t="s">
        <v>362</v>
      </c>
      <c r="IQ11" s="0" t="s">
        <v>363</v>
      </c>
      <c r="IR11" s="0" t="s">
        <v>363</v>
      </c>
      <c r="IS11" s="0" t="s">
        <v>118</v>
      </c>
      <c r="IT11" s="39">
        <v>0</v>
      </c>
      <c r="IU11" s="0" t="s">
        <v>363</v>
      </c>
      <c r="IV11" s="0" t="s">
        <v>117</v>
      </c>
      <c r="IW11" s="0" t="s">
        <v>363</v>
      </c>
      <c r="IY11" s="46">
        <v>8.61875</v>
      </c>
      <c r="IZ11" s="46">
        <v>8.80785</v>
      </c>
      <c r="JA11" s="46">
        <v>7.159</v>
      </c>
      <c r="JB11" s="6" t="s">
        <v>15</v>
      </c>
      <c r="JC11" s="6">
        <v>4</v>
      </c>
      <c r="JD11" s="6">
        <v>4</v>
      </c>
      <c r="JE11" s="6">
        <v>9</v>
      </c>
      <c r="JF11" s="6" t="s">
        <v>15</v>
      </c>
      <c r="JG11" s="45">
        <v>7.159</v>
      </c>
      <c r="JH11" s="6" t="s">
        <v>15</v>
      </c>
      <c r="JI11" s="6" t="s">
        <v>17</v>
      </c>
      <c r="JJ11" s="0" t="s">
        <v>362</v>
      </c>
      <c r="JK11" s="0" t="s">
        <v>363</v>
      </c>
      <c r="JL11" s="0" t="s">
        <v>363</v>
      </c>
      <c r="JM11" s="0" t="s">
        <v>118</v>
      </c>
      <c r="JN11" s="39">
        <v>0</v>
      </c>
      <c r="JO11" s="0" t="s">
        <v>363</v>
      </c>
      <c r="JP11" s="0" t="s">
        <v>117</v>
      </c>
      <c r="JQ11" s="0" t="s">
        <v>363</v>
      </c>
      <c r="JS11" s="46">
        <v>8.49375</v>
      </c>
      <c r="JT11" s="46">
        <v>8.74485</v>
      </c>
      <c r="JU11" s="46">
        <v>7.114</v>
      </c>
      <c r="JV11" s="6" t="s">
        <v>15</v>
      </c>
      <c r="JW11" s="6">
        <v>5</v>
      </c>
      <c r="JX11" s="6">
        <v>5</v>
      </c>
      <c r="JY11" s="6">
        <v>10</v>
      </c>
      <c r="JZ11" s="6" t="s">
        <v>15</v>
      </c>
      <c r="KA11" s="45">
        <v>7.114</v>
      </c>
      <c r="KB11" s="6" t="s">
        <v>15</v>
      </c>
      <c r="KC11" s="6" t="s">
        <v>17</v>
      </c>
      <c r="KD11" s="0" t="s">
        <v>362</v>
      </c>
      <c r="KE11" s="0" t="s">
        <v>363</v>
      </c>
      <c r="KF11" s="0" t="s">
        <v>363</v>
      </c>
      <c r="KG11" s="0" t="s">
        <v>118</v>
      </c>
      <c r="KH11" s="39">
        <v>0</v>
      </c>
      <c r="KI11" s="0" t="s">
        <v>363</v>
      </c>
      <c r="KJ11" s="0" t="s">
        <v>117</v>
      </c>
      <c r="KK11" s="0" t="s">
        <v>363</v>
      </c>
      <c r="KM11" s="46">
        <v>8.36875</v>
      </c>
      <c r="KN11" s="46">
        <v>8.68185</v>
      </c>
      <c r="KO11" s="46">
        <v>7.569</v>
      </c>
      <c r="KP11" s="6" t="s">
        <v>15</v>
      </c>
      <c r="KQ11" s="6">
        <v>6</v>
      </c>
      <c r="KR11" s="6">
        <v>6</v>
      </c>
      <c r="KS11" s="6">
        <v>11</v>
      </c>
      <c r="KT11" s="6" t="s">
        <v>15</v>
      </c>
      <c r="KU11" s="45">
        <v>7.569</v>
      </c>
      <c r="KV11" s="6" t="s">
        <v>15</v>
      </c>
      <c r="KW11" s="6" t="s">
        <v>17</v>
      </c>
      <c r="KX11" s="0" t="s">
        <v>362</v>
      </c>
      <c r="KY11" s="0" t="s">
        <v>363</v>
      </c>
      <c r="KZ11" s="0" t="s">
        <v>136</v>
      </c>
      <c r="LA11" s="0" t="s">
        <v>115</v>
      </c>
      <c r="LB11" s="39">
        <v>27969.59</v>
      </c>
      <c r="LC11" s="0" t="s">
        <v>363</v>
      </c>
      <c r="LD11" s="0" t="s">
        <v>121</v>
      </c>
      <c r="LE11" s="0" t="s">
        <v>363</v>
      </c>
    </row>
    <row r="12">
      <c r="A12" s="35" t="s">
        <v>341</v>
      </c>
      <c r="B12" s="36" t="s">
        <v>342</v>
      </c>
      <c r="C12" s="35" t="s">
        <v>394</v>
      </c>
      <c r="D12" s="36">
        <v>30031</v>
      </c>
      <c r="E12" s="36" t="s">
        <v>344</v>
      </c>
      <c r="F12" s="35" t="s">
        <v>345</v>
      </c>
      <c r="G12" s="35" t="s">
        <v>45</v>
      </c>
      <c r="H12" s="36" t="s">
        <v>385</v>
      </c>
      <c r="I12" s="35" t="s">
        <v>347</v>
      </c>
      <c r="J12" s="35"/>
      <c r="K12" s="35" t="s">
        <v>395</v>
      </c>
      <c r="L12" s="35" t="s">
        <v>396</v>
      </c>
      <c r="M12" s="35" t="s">
        <v>397</v>
      </c>
      <c r="N12" s="35" t="s">
        <v>377</v>
      </c>
      <c r="O12" s="37">
        <v>71</v>
      </c>
      <c r="P12" s="37">
        <v>1725.3</v>
      </c>
      <c r="Q12" s="36" t="s">
        <v>15</v>
      </c>
      <c r="R12" s="35" t="s">
        <v>352</v>
      </c>
      <c r="S12" s="36" t="s">
        <v>368</v>
      </c>
      <c r="T12" s="35" t="s">
        <v>369</v>
      </c>
      <c r="U12" s="36" t="s">
        <v>15</v>
      </c>
      <c r="V12" s="36" t="s">
        <v>15</v>
      </c>
      <c r="W12" s="35" t="s">
        <v>62</v>
      </c>
      <c r="X12" s="36" t="s">
        <v>15</v>
      </c>
      <c r="Y12" s="36" t="s">
        <v>17</v>
      </c>
      <c r="Z12" s="38" t="s">
        <v>39</v>
      </c>
      <c r="AA12" s="36" t="s">
        <v>15</v>
      </c>
      <c r="AB12" s="35" t="s">
        <v>354</v>
      </c>
      <c r="AC12" s="36">
        <v>6</v>
      </c>
      <c r="AD12" s="36" t="s">
        <v>15</v>
      </c>
      <c r="AE12" s="36" t="s">
        <v>15</v>
      </c>
      <c r="AF12" s="36">
        <v>1970</v>
      </c>
      <c r="AG12" s="36">
        <v>57</v>
      </c>
      <c r="AH12" s="37">
        <v>50</v>
      </c>
      <c r="AI12" s="37">
        <v>294</v>
      </c>
      <c r="AJ12" s="37">
        <v>7</v>
      </c>
      <c r="AK12" s="36" t="s">
        <v>355</v>
      </c>
      <c r="AL12" s="37">
        <v>46</v>
      </c>
      <c r="AM12" s="35" t="s">
        <v>15</v>
      </c>
      <c r="AN12" s="35" t="s">
        <v>359</v>
      </c>
      <c r="AO12" s="36" t="s">
        <v>356</v>
      </c>
      <c r="AP12" s="36" t="s">
        <v>15</v>
      </c>
      <c r="AQ12" s="35" t="s">
        <v>357</v>
      </c>
      <c r="AR12" s="36" t="s">
        <v>15</v>
      </c>
      <c r="AS12" s="36" t="s">
        <v>15</v>
      </c>
      <c r="AT12" s="36" t="s">
        <v>17</v>
      </c>
      <c r="AU12" s="36" t="s">
        <v>15</v>
      </c>
      <c r="AV12" s="36" t="s">
        <v>17</v>
      </c>
      <c r="AW12" s="36" t="s">
        <v>15</v>
      </c>
      <c r="AX12" s="41" t="s">
        <v>371</v>
      </c>
      <c r="AY12" s="42">
        <v>776385</v>
      </c>
      <c r="AZ12" s="41" t="s">
        <v>359</v>
      </c>
      <c r="BA12" s="42">
        <v>0</v>
      </c>
      <c r="BB12" s="41" t="s">
        <v>359</v>
      </c>
      <c r="BC12" s="42">
        <v>0</v>
      </c>
      <c r="BD12" s="41" t="s">
        <v>359</v>
      </c>
      <c r="BE12" s="42">
        <v>0</v>
      </c>
      <c r="BF12" s="41" t="s">
        <v>359</v>
      </c>
      <c r="BG12" s="42">
        <v>0</v>
      </c>
      <c r="BH12" s="41" t="s">
        <v>359</v>
      </c>
      <c r="BI12" s="42">
        <v>0</v>
      </c>
      <c r="BJ12" s="41" t="s">
        <v>359</v>
      </c>
      <c r="BK12" s="42">
        <v>0</v>
      </c>
      <c r="BL12" s="41" t="s">
        <v>359</v>
      </c>
      <c r="BM12" s="42">
        <v>0</v>
      </c>
      <c r="BN12" s="41" t="s">
        <v>359</v>
      </c>
      <c r="BO12" s="42">
        <v>0</v>
      </c>
      <c r="BP12" s="41" t="s">
        <v>359</v>
      </c>
      <c r="BQ12" s="42">
        <v>0</v>
      </c>
      <c r="BR12" s="41" t="s">
        <v>359</v>
      </c>
      <c r="BS12" s="42">
        <v>0</v>
      </c>
      <c r="BT12" s="36" t="s">
        <v>360</v>
      </c>
      <c r="BU12" s="36" t="s">
        <v>359</v>
      </c>
      <c r="BV12" s="35"/>
      <c r="BW12" s="35" t="s">
        <v>361</v>
      </c>
      <c r="BX12" s="35" t="s">
        <v>359</v>
      </c>
      <c r="BY12" s="35" t="s">
        <v>359</v>
      </c>
      <c r="BZ12" s="35" t="s">
        <v>359</v>
      </c>
      <c r="CA12" s="35" t="s">
        <v>359</v>
      </c>
      <c r="CB12" s="35" t="s">
        <v>359</v>
      </c>
      <c r="CC12" s="35" t="s">
        <v>359</v>
      </c>
      <c r="CD12" s="35" t="s">
        <v>359</v>
      </c>
      <c r="CE12" s="35" t="s">
        <v>359</v>
      </c>
      <c r="CF12" s="35" t="s">
        <v>359</v>
      </c>
      <c r="CG12" s="35" t="s">
        <v>359</v>
      </c>
      <c r="CI12" s="47">
        <v>4.292</v>
      </c>
      <c r="CJ12" s="47">
        <v>4.295999999999999</v>
      </c>
      <c r="CK12" s="47">
        <v>5.508</v>
      </c>
      <c r="CL12" s="36" t="s">
        <v>15</v>
      </c>
      <c r="CM12" s="36">
        <v>12</v>
      </c>
      <c r="CN12" s="36">
        <v>12</v>
      </c>
      <c r="CO12" s="36">
        <v>12</v>
      </c>
      <c r="CP12" s="36" t="s">
        <v>15</v>
      </c>
      <c r="CQ12" s="48">
        <v>4.292</v>
      </c>
      <c r="CR12" s="36" t="s">
        <v>17</v>
      </c>
      <c r="CS12" s="36" t="s">
        <v>17</v>
      </c>
      <c r="CU12" s="47">
        <v>9.99</v>
      </c>
      <c r="CV12" s="47">
        <v>9.99</v>
      </c>
      <c r="CW12" s="47">
        <v>6.99</v>
      </c>
      <c r="CX12" s="36" t="s">
        <v>15</v>
      </c>
      <c r="CY12" s="36">
        <v>1</v>
      </c>
      <c r="CZ12" s="36">
        <v>1</v>
      </c>
      <c r="DA12" s="36">
        <v>1</v>
      </c>
      <c r="DB12" s="36" t="s">
        <v>15</v>
      </c>
      <c r="DC12" s="48">
        <v>6.99</v>
      </c>
      <c r="DD12" s="36" t="s">
        <v>15</v>
      </c>
      <c r="DE12" s="36" t="s">
        <v>17</v>
      </c>
      <c r="DF12" s="35" t="s">
        <v>362</v>
      </c>
      <c r="DG12" s="35" t="s">
        <v>363</v>
      </c>
      <c r="DH12" s="35" t="s">
        <v>136</v>
      </c>
      <c r="DI12" s="35" t="s">
        <v>128</v>
      </c>
      <c r="DJ12" s="40">
        <v>776385</v>
      </c>
      <c r="DK12" s="35" t="s">
        <v>363</v>
      </c>
      <c r="DL12" s="35" t="s">
        <v>122</v>
      </c>
      <c r="DM12" s="35" t="s">
        <v>363</v>
      </c>
      <c r="DO12" s="47">
        <v>9.790000000000001</v>
      </c>
      <c r="DP12" s="47">
        <v>9.790000000000001</v>
      </c>
      <c r="DQ12" s="47">
        <v>6.931</v>
      </c>
      <c r="DR12" s="36" t="s">
        <v>15</v>
      </c>
      <c r="DS12" s="36">
        <v>2</v>
      </c>
      <c r="DT12" s="36">
        <v>2</v>
      </c>
      <c r="DU12" s="36">
        <v>2</v>
      </c>
      <c r="DV12" s="36" t="s">
        <v>15</v>
      </c>
      <c r="DW12" s="48">
        <v>6.931</v>
      </c>
      <c r="DX12" s="36" t="s">
        <v>15</v>
      </c>
      <c r="DY12" s="36" t="s">
        <v>17</v>
      </c>
      <c r="DZ12" s="35" t="s">
        <v>362</v>
      </c>
      <c r="EA12" s="35" t="s">
        <v>363</v>
      </c>
      <c r="EB12" s="35" t="s">
        <v>363</v>
      </c>
      <c r="EC12" s="35" t="s">
        <v>118</v>
      </c>
      <c r="ED12" s="40">
        <v>0</v>
      </c>
      <c r="EE12" s="35" t="s">
        <v>363</v>
      </c>
      <c r="EF12" s="35" t="s">
        <v>117</v>
      </c>
      <c r="EG12" s="35" t="s">
        <v>363</v>
      </c>
      <c r="EI12" s="47">
        <v>9.59</v>
      </c>
      <c r="EJ12" s="47">
        <v>9.59</v>
      </c>
      <c r="EK12" s="47">
        <v>6.872000000000001</v>
      </c>
      <c r="EL12" s="36" t="s">
        <v>15</v>
      </c>
      <c r="EM12" s="36">
        <v>3</v>
      </c>
      <c r="EN12" s="36">
        <v>3</v>
      </c>
      <c r="EO12" s="36">
        <v>3</v>
      </c>
      <c r="EP12" s="36" t="s">
        <v>15</v>
      </c>
      <c r="EQ12" s="48">
        <v>6.872000000000001</v>
      </c>
      <c r="ER12" s="36" t="s">
        <v>15</v>
      </c>
      <c r="ES12" s="36" t="s">
        <v>17</v>
      </c>
      <c r="ET12" s="35" t="s">
        <v>362</v>
      </c>
      <c r="EU12" s="35" t="s">
        <v>363</v>
      </c>
      <c r="EV12" s="35" t="s">
        <v>363</v>
      </c>
      <c r="EW12" s="35" t="s">
        <v>118</v>
      </c>
      <c r="EX12" s="40">
        <v>0</v>
      </c>
      <c r="EY12" s="35" t="s">
        <v>363</v>
      </c>
      <c r="EZ12" s="35" t="s">
        <v>117</v>
      </c>
      <c r="FA12" s="35" t="s">
        <v>363</v>
      </c>
      <c r="FC12" s="47">
        <v>9.39</v>
      </c>
      <c r="FD12" s="47">
        <v>9.39</v>
      </c>
      <c r="FE12" s="47">
        <v>6.813000000000001</v>
      </c>
      <c r="FF12" s="36" t="s">
        <v>15</v>
      </c>
      <c r="FG12" s="36">
        <v>4</v>
      </c>
      <c r="FH12" s="36">
        <v>4</v>
      </c>
      <c r="FI12" s="36">
        <v>4</v>
      </c>
      <c r="FJ12" s="36" t="s">
        <v>15</v>
      </c>
      <c r="FK12" s="48">
        <v>6.813000000000001</v>
      </c>
      <c r="FL12" s="36" t="s">
        <v>15</v>
      </c>
      <c r="FM12" s="36" t="s">
        <v>17</v>
      </c>
      <c r="FN12" s="35" t="s">
        <v>362</v>
      </c>
      <c r="FO12" s="35" t="s">
        <v>363</v>
      </c>
      <c r="FP12" s="35" t="s">
        <v>363</v>
      </c>
      <c r="FQ12" s="35" t="s">
        <v>118</v>
      </c>
      <c r="FR12" s="40">
        <v>0</v>
      </c>
      <c r="FS12" s="35" t="s">
        <v>363</v>
      </c>
      <c r="FT12" s="35" t="s">
        <v>117</v>
      </c>
      <c r="FU12" s="35" t="s">
        <v>363</v>
      </c>
      <c r="FW12" s="47">
        <v>9.19</v>
      </c>
      <c r="FX12" s="47">
        <v>9.19</v>
      </c>
      <c r="FY12" s="47">
        <v>6.7540000000000004</v>
      </c>
      <c r="FZ12" s="36" t="s">
        <v>15</v>
      </c>
      <c r="GA12" s="36">
        <v>5</v>
      </c>
      <c r="GB12" s="36">
        <v>5</v>
      </c>
      <c r="GC12" s="36">
        <v>5</v>
      </c>
      <c r="GD12" s="36" t="s">
        <v>15</v>
      </c>
      <c r="GE12" s="48">
        <v>6.7540000000000004</v>
      </c>
      <c r="GF12" s="36" t="s">
        <v>15</v>
      </c>
      <c r="GG12" s="36" t="s">
        <v>17</v>
      </c>
      <c r="GH12" s="35" t="s">
        <v>362</v>
      </c>
      <c r="GI12" s="35" t="s">
        <v>363</v>
      </c>
      <c r="GJ12" s="35" t="s">
        <v>363</v>
      </c>
      <c r="GK12" s="35" t="s">
        <v>118</v>
      </c>
      <c r="GL12" s="40">
        <v>0</v>
      </c>
      <c r="GM12" s="35" t="s">
        <v>363</v>
      </c>
      <c r="GN12" s="35" t="s">
        <v>117</v>
      </c>
      <c r="GO12" s="35" t="s">
        <v>363</v>
      </c>
      <c r="GQ12" s="47">
        <v>8.99375</v>
      </c>
      <c r="GR12" s="47">
        <v>8.99685</v>
      </c>
      <c r="GS12" s="47">
        <v>6.695</v>
      </c>
      <c r="GT12" s="36" t="s">
        <v>15</v>
      </c>
      <c r="GU12" s="36">
        <v>1</v>
      </c>
      <c r="GV12" s="36">
        <v>1</v>
      </c>
      <c r="GW12" s="36">
        <v>6</v>
      </c>
      <c r="GX12" s="36" t="s">
        <v>15</v>
      </c>
      <c r="GY12" s="48">
        <v>6.695</v>
      </c>
      <c r="GZ12" s="36" t="s">
        <v>15</v>
      </c>
      <c r="HA12" s="36" t="s">
        <v>17</v>
      </c>
      <c r="HB12" s="35" t="s">
        <v>362</v>
      </c>
      <c r="HC12" s="35" t="s">
        <v>363</v>
      </c>
      <c r="HD12" s="35" t="s">
        <v>363</v>
      </c>
      <c r="HE12" s="35" t="s">
        <v>118</v>
      </c>
      <c r="HF12" s="40">
        <v>0</v>
      </c>
      <c r="HG12" s="35" t="s">
        <v>363</v>
      </c>
      <c r="HH12" s="35" t="s">
        <v>117</v>
      </c>
      <c r="HI12" s="35" t="s">
        <v>363</v>
      </c>
      <c r="HK12" s="47">
        <v>8.86875</v>
      </c>
      <c r="HL12" s="47">
        <v>8.93385</v>
      </c>
      <c r="HM12" s="47">
        <v>6.636</v>
      </c>
      <c r="HN12" s="36" t="s">
        <v>15</v>
      </c>
      <c r="HO12" s="36">
        <v>2</v>
      </c>
      <c r="HP12" s="36">
        <v>2</v>
      </c>
      <c r="HQ12" s="36">
        <v>7</v>
      </c>
      <c r="HR12" s="36" t="s">
        <v>15</v>
      </c>
      <c r="HS12" s="48">
        <v>6.636</v>
      </c>
      <c r="HT12" s="36" t="s">
        <v>15</v>
      </c>
      <c r="HU12" s="36" t="s">
        <v>17</v>
      </c>
      <c r="HV12" s="35" t="s">
        <v>362</v>
      </c>
      <c r="HW12" s="35" t="s">
        <v>363</v>
      </c>
      <c r="HX12" s="35" t="s">
        <v>363</v>
      </c>
      <c r="HY12" s="35" t="s">
        <v>118</v>
      </c>
      <c r="HZ12" s="40">
        <v>0</v>
      </c>
      <c r="IA12" s="35" t="s">
        <v>363</v>
      </c>
      <c r="IB12" s="35" t="s">
        <v>117</v>
      </c>
      <c r="IC12" s="35" t="s">
        <v>363</v>
      </c>
      <c r="IE12" s="47">
        <v>8.74375</v>
      </c>
      <c r="IF12" s="47">
        <v>8.87085</v>
      </c>
      <c r="IG12" s="47">
        <v>6.577000000000001</v>
      </c>
      <c r="IH12" s="36" t="s">
        <v>15</v>
      </c>
      <c r="II12" s="36">
        <v>3</v>
      </c>
      <c r="IJ12" s="36">
        <v>3</v>
      </c>
      <c r="IK12" s="36">
        <v>8</v>
      </c>
      <c r="IL12" s="36" t="s">
        <v>15</v>
      </c>
      <c r="IM12" s="48">
        <v>6.577000000000001</v>
      </c>
      <c r="IN12" s="36" t="s">
        <v>15</v>
      </c>
      <c r="IO12" s="36" t="s">
        <v>17</v>
      </c>
      <c r="IP12" s="35" t="s">
        <v>362</v>
      </c>
      <c r="IQ12" s="35" t="s">
        <v>363</v>
      </c>
      <c r="IR12" s="35" t="s">
        <v>363</v>
      </c>
      <c r="IS12" s="35" t="s">
        <v>118</v>
      </c>
      <c r="IT12" s="40">
        <v>0</v>
      </c>
      <c r="IU12" s="35" t="s">
        <v>363</v>
      </c>
      <c r="IV12" s="35" t="s">
        <v>117</v>
      </c>
      <c r="IW12" s="35" t="s">
        <v>363</v>
      </c>
      <c r="IY12" s="47">
        <v>8.61875</v>
      </c>
      <c r="IZ12" s="47">
        <v>8.80785</v>
      </c>
      <c r="JA12" s="47">
        <v>6.518000000000001</v>
      </c>
      <c r="JB12" s="36" t="s">
        <v>15</v>
      </c>
      <c r="JC12" s="36">
        <v>4</v>
      </c>
      <c r="JD12" s="36">
        <v>4</v>
      </c>
      <c r="JE12" s="36">
        <v>9</v>
      </c>
      <c r="JF12" s="36" t="s">
        <v>15</v>
      </c>
      <c r="JG12" s="48">
        <v>6.518000000000001</v>
      </c>
      <c r="JH12" s="36" t="s">
        <v>15</v>
      </c>
      <c r="JI12" s="36" t="s">
        <v>17</v>
      </c>
      <c r="JJ12" s="35" t="s">
        <v>362</v>
      </c>
      <c r="JK12" s="35" t="s">
        <v>363</v>
      </c>
      <c r="JL12" s="35" t="s">
        <v>363</v>
      </c>
      <c r="JM12" s="35" t="s">
        <v>118</v>
      </c>
      <c r="JN12" s="40">
        <v>0</v>
      </c>
      <c r="JO12" s="35" t="s">
        <v>363</v>
      </c>
      <c r="JP12" s="35" t="s">
        <v>117</v>
      </c>
      <c r="JQ12" s="35" t="s">
        <v>363</v>
      </c>
      <c r="JS12" s="47">
        <v>8.49375</v>
      </c>
      <c r="JT12" s="47">
        <v>8.74485</v>
      </c>
      <c r="JU12" s="47">
        <v>6.4590000000000005</v>
      </c>
      <c r="JV12" s="36" t="s">
        <v>15</v>
      </c>
      <c r="JW12" s="36">
        <v>5</v>
      </c>
      <c r="JX12" s="36">
        <v>5</v>
      </c>
      <c r="JY12" s="36">
        <v>10</v>
      </c>
      <c r="JZ12" s="36" t="s">
        <v>15</v>
      </c>
      <c r="KA12" s="48">
        <v>6.4590000000000005</v>
      </c>
      <c r="KB12" s="36" t="s">
        <v>15</v>
      </c>
      <c r="KC12" s="36" t="s">
        <v>17</v>
      </c>
      <c r="KD12" s="35" t="s">
        <v>362</v>
      </c>
      <c r="KE12" s="35" t="s">
        <v>363</v>
      </c>
      <c r="KF12" s="35" t="s">
        <v>363</v>
      </c>
      <c r="KG12" s="35" t="s">
        <v>118</v>
      </c>
      <c r="KH12" s="40">
        <v>0</v>
      </c>
      <c r="KI12" s="35" t="s">
        <v>363</v>
      </c>
      <c r="KJ12" s="35" t="s">
        <v>117</v>
      </c>
      <c r="KK12" s="35" t="s">
        <v>363</v>
      </c>
      <c r="KM12" s="47">
        <v>8.36875</v>
      </c>
      <c r="KN12" s="47">
        <v>8.68185</v>
      </c>
      <c r="KO12" s="47">
        <v>6.4</v>
      </c>
      <c r="KP12" s="36" t="s">
        <v>15</v>
      </c>
      <c r="KQ12" s="36">
        <v>6</v>
      </c>
      <c r="KR12" s="36">
        <v>6</v>
      </c>
      <c r="KS12" s="36">
        <v>11</v>
      </c>
      <c r="KT12" s="36" t="s">
        <v>15</v>
      </c>
      <c r="KU12" s="48">
        <v>6.4</v>
      </c>
      <c r="KV12" s="36" t="s">
        <v>15</v>
      </c>
      <c r="KW12" s="36" t="s">
        <v>17</v>
      </c>
      <c r="KX12" s="35" t="s">
        <v>362</v>
      </c>
      <c r="KY12" s="35" t="s">
        <v>363</v>
      </c>
      <c r="KZ12" s="35" t="s">
        <v>363</v>
      </c>
      <c r="LA12" s="35" t="s">
        <v>118</v>
      </c>
      <c r="LB12" s="40">
        <v>0</v>
      </c>
      <c r="LC12" s="35" t="s">
        <v>363</v>
      </c>
      <c r="LD12" s="35" t="s">
        <v>117</v>
      </c>
      <c r="LE12" s="35" t="s">
        <v>363</v>
      </c>
    </row>
    <row r="13">
      <c r="A13" s="0" t="s">
        <v>341</v>
      </c>
      <c r="B13" s="6" t="s">
        <v>342</v>
      </c>
      <c r="C13" s="0" t="s">
        <v>398</v>
      </c>
      <c r="D13" s="6">
        <v>30032</v>
      </c>
      <c r="E13" s="6" t="s">
        <v>344</v>
      </c>
      <c r="F13" s="0" t="s">
        <v>345</v>
      </c>
      <c r="G13" s="0" t="s">
        <v>45</v>
      </c>
      <c r="H13" s="6" t="s">
        <v>385</v>
      </c>
      <c r="I13" s="0" t="s">
        <v>347</v>
      </c>
      <c r="K13" s="0" t="s">
        <v>395</v>
      </c>
      <c r="L13" s="0" t="s">
        <v>396</v>
      </c>
      <c r="M13" s="0" t="s">
        <v>399</v>
      </c>
      <c r="N13" s="0" t="s">
        <v>377</v>
      </c>
      <c r="O13" s="33">
        <v>63</v>
      </c>
      <c r="P13" s="33">
        <v>1549.8</v>
      </c>
      <c r="Q13" s="6" t="s">
        <v>15</v>
      </c>
      <c r="R13" s="0" t="s">
        <v>352</v>
      </c>
      <c r="S13" s="6" t="s">
        <v>368</v>
      </c>
      <c r="T13" s="0" t="s">
        <v>369</v>
      </c>
      <c r="U13" s="6" t="s">
        <v>15</v>
      </c>
      <c r="V13" s="6" t="s">
        <v>15</v>
      </c>
      <c r="W13" s="0" t="s">
        <v>62</v>
      </c>
      <c r="X13" s="6" t="s">
        <v>15</v>
      </c>
      <c r="Y13" s="6" t="s">
        <v>17</v>
      </c>
      <c r="Z13" s="34" t="s">
        <v>39</v>
      </c>
      <c r="AA13" s="6" t="s">
        <v>15</v>
      </c>
      <c r="AB13" s="0" t="s">
        <v>354</v>
      </c>
      <c r="AC13" s="6">
        <v>7</v>
      </c>
      <c r="AD13" s="6" t="s">
        <v>15</v>
      </c>
      <c r="AE13" s="6" t="s">
        <v>15</v>
      </c>
      <c r="AF13" s="6">
        <v>1970</v>
      </c>
      <c r="AG13" s="6">
        <v>57</v>
      </c>
      <c r="AH13" s="33">
        <v>50</v>
      </c>
      <c r="AI13" s="33">
        <v>278</v>
      </c>
      <c r="AJ13" s="33">
        <v>2</v>
      </c>
      <c r="AK13" s="6" t="s">
        <v>355</v>
      </c>
      <c r="AL13" s="33">
        <v>23</v>
      </c>
      <c r="AM13" s="0" t="s">
        <v>15</v>
      </c>
      <c r="AN13" s="0" t="s">
        <v>342</v>
      </c>
      <c r="AO13" s="6" t="s">
        <v>356</v>
      </c>
      <c r="AP13" s="6" t="s">
        <v>15</v>
      </c>
      <c r="AQ13" s="0" t="s">
        <v>357</v>
      </c>
      <c r="AR13" s="6" t="s">
        <v>15</v>
      </c>
      <c r="AS13" s="6" t="s">
        <v>15</v>
      </c>
      <c r="AT13" s="6" t="s">
        <v>17</v>
      </c>
      <c r="AU13" s="6" t="s">
        <v>15</v>
      </c>
      <c r="AV13" s="6" t="s">
        <v>17</v>
      </c>
      <c r="AW13" s="6" t="s">
        <v>15</v>
      </c>
      <c r="AX13" s="43" t="s">
        <v>371</v>
      </c>
      <c r="AY13" s="44">
        <v>697410</v>
      </c>
      <c r="AZ13" s="43" t="s">
        <v>359</v>
      </c>
      <c r="BA13" s="44">
        <v>0</v>
      </c>
      <c r="BB13" s="43" t="s">
        <v>359</v>
      </c>
      <c r="BC13" s="44">
        <v>0</v>
      </c>
      <c r="BD13" s="43" t="s">
        <v>359</v>
      </c>
      <c r="BE13" s="44">
        <v>0</v>
      </c>
      <c r="BF13" s="43" t="s">
        <v>359</v>
      </c>
      <c r="BG13" s="44">
        <v>0</v>
      </c>
      <c r="BH13" s="43" t="s">
        <v>359</v>
      </c>
      <c r="BI13" s="44">
        <v>0</v>
      </c>
      <c r="BJ13" s="43" t="s">
        <v>359</v>
      </c>
      <c r="BK13" s="44">
        <v>0</v>
      </c>
      <c r="BL13" s="43" t="s">
        <v>359</v>
      </c>
      <c r="BM13" s="44">
        <v>0</v>
      </c>
      <c r="BN13" s="43" t="s">
        <v>359</v>
      </c>
      <c r="BO13" s="44">
        <v>0</v>
      </c>
      <c r="BP13" s="43" t="s">
        <v>359</v>
      </c>
      <c r="BQ13" s="44">
        <v>0</v>
      </c>
      <c r="BR13" s="43" t="s">
        <v>359</v>
      </c>
      <c r="BS13" s="44">
        <v>0</v>
      </c>
      <c r="BT13" s="6" t="s">
        <v>360</v>
      </c>
      <c r="BU13" s="6" t="s">
        <v>359</v>
      </c>
      <c r="BW13" s="0" t="s">
        <v>361</v>
      </c>
      <c r="BX13" s="0" t="s">
        <v>359</v>
      </c>
      <c r="BY13" s="0" t="s">
        <v>359</v>
      </c>
      <c r="BZ13" s="0" t="s">
        <v>359</v>
      </c>
      <c r="CA13" s="0" t="s">
        <v>359</v>
      </c>
      <c r="CB13" s="0" t="s">
        <v>359</v>
      </c>
      <c r="CC13" s="0" t="s">
        <v>359</v>
      </c>
      <c r="CD13" s="0" t="s">
        <v>359</v>
      </c>
      <c r="CE13" s="0" t="s">
        <v>359</v>
      </c>
      <c r="CF13" s="0" t="s">
        <v>359</v>
      </c>
      <c r="CG13" s="0" t="s">
        <v>359</v>
      </c>
      <c r="CI13" s="46">
        <v>2.941</v>
      </c>
      <c r="CJ13" s="46">
        <v>2.926999999999999</v>
      </c>
      <c r="CK13" s="46">
        <v>5.8180000000000005</v>
      </c>
      <c r="CL13" s="6" t="s">
        <v>15</v>
      </c>
      <c r="CM13" s="6">
        <v>1</v>
      </c>
      <c r="CN13" s="6">
        <v>1</v>
      </c>
      <c r="CO13" s="6">
        <v>3</v>
      </c>
      <c r="CP13" s="6" t="s">
        <v>15</v>
      </c>
      <c r="CQ13" s="49">
        <v>2.926999999999999</v>
      </c>
      <c r="CR13" s="6" t="s">
        <v>17</v>
      </c>
      <c r="CS13" s="6" t="s">
        <v>17</v>
      </c>
      <c r="CU13" s="46">
        <v>9.99</v>
      </c>
      <c r="CV13" s="46">
        <v>9.99</v>
      </c>
      <c r="CW13" s="46">
        <v>6.99</v>
      </c>
      <c r="CX13" s="6" t="s">
        <v>15</v>
      </c>
      <c r="CY13" s="6">
        <v>1</v>
      </c>
      <c r="CZ13" s="6">
        <v>1</v>
      </c>
      <c r="DA13" s="6">
        <v>1</v>
      </c>
      <c r="DB13" s="6" t="s">
        <v>15</v>
      </c>
      <c r="DC13" s="45">
        <v>6.99</v>
      </c>
      <c r="DD13" s="6" t="s">
        <v>15</v>
      </c>
      <c r="DE13" s="6" t="s">
        <v>17</v>
      </c>
      <c r="DF13" s="0" t="s">
        <v>362</v>
      </c>
      <c r="DG13" s="0" t="s">
        <v>363</v>
      </c>
      <c r="DH13" s="0" t="s">
        <v>136</v>
      </c>
      <c r="DI13" s="0" t="s">
        <v>128</v>
      </c>
      <c r="DJ13" s="39">
        <v>697410</v>
      </c>
      <c r="DK13" s="0" t="s">
        <v>363</v>
      </c>
      <c r="DL13" s="0" t="s">
        <v>122</v>
      </c>
      <c r="DM13" s="0" t="s">
        <v>363</v>
      </c>
      <c r="DO13" s="46">
        <v>9.790000000000001</v>
      </c>
      <c r="DP13" s="46">
        <v>9.790000000000001</v>
      </c>
      <c r="DQ13" s="46">
        <v>6.931</v>
      </c>
      <c r="DR13" s="6" t="s">
        <v>15</v>
      </c>
      <c r="DS13" s="6">
        <v>2</v>
      </c>
      <c r="DT13" s="6">
        <v>2</v>
      </c>
      <c r="DU13" s="6">
        <v>2</v>
      </c>
      <c r="DV13" s="6" t="s">
        <v>15</v>
      </c>
      <c r="DW13" s="45">
        <v>6.931</v>
      </c>
      <c r="DX13" s="6" t="s">
        <v>15</v>
      </c>
      <c r="DY13" s="6" t="s">
        <v>17</v>
      </c>
      <c r="DZ13" s="0" t="s">
        <v>362</v>
      </c>
      <c r="EA13" s="0" t="s">
        <v>363</v>
      </c>
      <c r="EB13" s="0" t="s">
        <v>363</v>
      </c>
      <c r="EC13" s="0" t="s">
        <v>118</v>
      </c>
      <c r="ED13" s="39">
        <v>0</v>
      </c>
      <c r="EE13" s="0" t="s">
        <v>363</v>
      </c>
      <c r="EF13" s="0" t="s">
        <v>117</v>
      </c>
      <c r="EG13" s="0" t="s">
        <v>363</v>
      </c>
      <c r="EI13" s="46">
        <v>9.59</v>
      </c>
      <c r="EJ13" s="46">
        <v>9.59</v>
      </c>
      <c r="EK13" s="46">
        <v>6.872000000000001</v>
      </c>
      <c r="EL13" s="6" t="s">
        <v>15</v>
      </c>
      <c r="EM13" s="6">
        <v>3</v>
      </c>
      <c r="EN13" s="6">
        <v>3</v>
      </c>
      <c r="EO13" s="6">
        <v>3</v>
      </c>
      <c r="EP13" s="6" t="s">
        <v>15</v>
      </c>
      <c r="EQ13" s="45">
        <v>6.872000000000001</v>
      </c>
      <c r="ER13" s="6" t="s">
        <v>15</v>
      </c>
      <c r="ES13" s="6" t="s">
        <v>17</v>
      </c>
      <c r="ET13" s="0" t="s">
        <v>362</v>
      </c>
      <c r="EU13" s="0" t="s">
        <v>363</v>
      </c>
      <c r="EV13" s="0" t="s">
        <v>363</v>
      </c>
      <c r="EW13" s="0" t="s">
        <v>118</v>
      </c>
      <c r="EX13" s="39">
        <v>0</v>
      </c>
      <c r="EY13" s="0" t="s">
        <v>363</v>
      </c>
      <c r="EZ13" s="0" t="s">
        <v>117</v>
      </c>
      <c r="FA13" s="0" t="s">
        <v>363</v>
      </c>
      <c r="FC13" s="46">
        <v>9.39</v>
      </c>
      <c r="FD13" s="46">
        <v>9.39</v>
      </c>
      <c r="FE13" s="46">
        <v>6.813000000000001</v>
      </c>
      <c r="FF13" s="6" t="s">
        <v>15</v>
      </c>
      <c r="FG13" s="6">
        <v>4</v>
      </c>
      <c r="FH13" s="6">
        <v>4</v>
      </c>
      <c r="FI13" s="6">
        <v>4</v>
      </c>
      <c r="FJ13" s="6" t="s">
        <v>15</v>
      </c>
      <c r="FK13" s="45">
        <v>6.813000000000001</v>
      </c>
      <c r="FL13" s="6" t="s">
        <v>15</v>
      </c>
      <c r="FM13" s="6" t="s">
        <v>17</v>
      </c>
      <c r="FN13" s="0" t="s">
        <v>362</v>
      </c>
      <c r="FO13" s="0" t="s">
        <v>363</v>
      </c>
      <c r="FP13" s="0" t="s">
        <v>363</v>
      </c>
      <c r="FQ13" s="0" t="s">
        <v>118</v>
      </c>
      <c r="FR13" s="39">
        <v>0</v>
      </c>
      <c r="FS13" s="0" t="s">
        <v>363</v>
      </c>
      <c r="FT13" s="0" t="s">
        <v>117</v>
      </c>
      <c r="FU13" s="0" t="s">
        <v>363</v>
      </c>
      <c r="FW13" s="46">
        <v>9.19</v>
      </c>
      <c r="FX13" s="46">
        <v>9.19</v>
      </c>
      <c r="FY13" s="46">
        <v>6.7540000000000004</v>
      </c>
      <c r="FZ13" s="6" t="s">
        <v>15</v>
      </c>
      <c r="GA13" s="6">
        <v>5</v>
      </c>
      <c r="GB13" s="6">
        <v>5</v>
      </c>
      <c r="GC13" s="6">
        <v>5</v>
      </c>
      <c r="GD13" s="6" t="s">
        <v>15</v>
      </c>
      <c r="GE13" s="45">
        <v>6.7540000000000004</v>
      </c>
      <c r="GF13" s="6" t="s">
        <v>15</v>
      </c>
      <c r="GG13" s="6" t="s">
        <v>17</v>
      </c>
      <c r="GH13" s="0" t="s">
        <v>362</v>
      </c>
      <c r="GI13" s="0" t="s">
        <v>363</v>
      </c>
      <c r="GJ13" s="0" t="s">
        <v>363</v>
      </c>
      <c r="GK13" s="0" t="s">
        <v>118</v>
      </c>
      <c r="GL13" s="39">
        <v>0</v>
      </c>
      <c r="GM13" s="0" t="s">
        <v>363</v>
      </c>
      <c r="GN13" s="0" t="s">
        <v>117</v>
      </c>
      <c r="GO13" s="0" t="s">
        <v>363</v>
      </c>
      <c r="GQ13" s="46">
        <v>8.99375</v>
      </c>
      <c r="GR13" s="46">
        <v>8.99685</v>
      </c>
      <c r="GS13" s="46">
        <v>6.695</v>
      </c>
      <c r="GT13" s="6" t="s">
        <v>15</v>
      </c>
      <c r="GU13" s="6">
        <v>1</v>
      </c>
      <c r="GV13" s="6">
        <v>1</v>
      </c>
      <c r="GW13" s="6">
        <v>6</v>
      </c>
      <c r="GX13" s="6" t="s">
        <v>15</v>
      </c>
      <c r="GY13" s="45">
        <v>6.695</v>
      </c>
      <c r="GZ13" s="6" t="s">
        <v>15</v>
      </c>
      <c r="HA13" s="6" t="s">
        <v>17</v>
      </c>
      <c r="HB13" s="0" t="s">
        <v>362</v>
      </c>
      <c r="HC13" s="0" t="s">
        <v>363</v>
      </c>
      <c r="HD13" s="0" t="s">
        <v>363</v>
      </c>
      <c r="HE13" s="0" t="s">
        <v>118</v>
      </c>
      <c r="HF13" s="39">
        <v>0</v>
      </c>
      <c r="HG13" s="0" t="s">
        <v>363</v>
      </c>
      <c r="HH13" s="0" t="s">
        <v>117</v>
      </c>
      <c r="HI13" s="0" t="s">
        <v>363</v>
      </c>
      <c r="HK13" s="46">
        <v>8.86875</v>
      </c>
      <c r="HL13" s="46">
        <v>8.93385</v>
      </c>
      <c r="HM13" s="46">
        <v>6.636</v>
      </c>
      <c r="HN13" s="6" t="s">
        <v>15</v>
      </c>
      <c r="HO13" s="6">
        <v>2</v>
      </c>
      <c r="HP13" s="6">
        <v>2</v>
      </c>
      <c r="HQ13" s="6">
        <v>7</v>
      </c>
      <c r="HR13" s="6" t="s">
        <v>15</v>
      </c>
      <c r="HS13" s="45">
        <v>6.636</v>
      </c>
      <c r="HT13" s="6" t="s">
        <v>15</v>
      </c>
      <c r="HU13" s="6" t="s">
        <v>17</v>
      </c>
      <c r="HV13" s="0" t="s">
        <v>362</v>
      </c>
      <c r="HW13" s="0" t="s">
        <v>363</v>
      </c>
      <c r="HX13" s="0" t="s">
        <v>363</v>
      </c>
      <c r="HY13" s="0" t="s">
        <v>118</v>
      </c>
      <c r="HZ13" s="39">
        <v>0</v>
      </c>
      <c r="IA13" s="0" t="s">
        <v>363</v>
      </c>
      <c r="IB13" s="0" t="s">
        <v>117</v>
      </c>
      <c r="IC13" s="0" t="s">
        <v>363</v>
      </c>
      <c r="IE13" s="46">
        <v>8.74375</v>
      </c>
      <c r="IF13" s="46">
        <v>8.87085</v>
      </c>
      <c r="IG13" s="46">
        <v>6.577000000000001</v>
      </c>
      <c r="IH13" s="6" t="s">
        <v>15</v>
      </c>
      <c r="II13" s="6">
        <v>3</v>
      </c>
      <c r="IJ13" s="6">
        <v>3</v>
      </c>
      <c r="IK13" s="6">
        <v>8</v>
      </c>
      <c r="IL13" s="6" t="s">
        <v>15</v>
      </c>
      <c r="IM13" s="45">
        <v>6.577000000000001</v>
      </c>
      <c r="IN13" s="6" t="s">
        <v>15</v>
      </c>
      <c r="IO13" s="6" t="s">
        <v>17</v>
      </c>
      <c r="IP13" s="0" t="s">
        <v>362</v>
      </c>
      <c r="IQ13" s="0" t="s">
        <v>363</v>
      </c>
      <c r="IR13" s="0" t="s">
        <v>363</v>
      </c>
      <c r="IS13" s="0" t="s">
        <v>118</v>
      </c>
      <c r="IT13" s="39">
        <v>0</v>
      </c>
      <c r="IU13" s="0" t="s">
        <v>363</v>
      </c>
      <c r="IV13" s="0" t="s">
        <v>117</v>
      </c>
      <c r="IW13" s="0" t="s">
        <v>363</v>
      </c>
      <c r="IY13" s="46">
        <v>8.61875</v>
      </c>
      <c r="IZ13" s="46">
        <v>8.80785</v>
      </c>
      <c r="JA13" s="46">
        <v>6.518000000000001</v>
      </c>
      <c r="JB13" s="6" t="s">
        <v>15</v>
      </c>
      <c r="JC13" s="6">
        <v>4</v>
      </c>
      <c r="JD13" s="6">
        <v>4</v>
      </c>
      <c r="JE13" s="6">
        <v>9</v>
      </c>
      <c r="JF13" s="6" t="s">
        <v>15</v>
      </c>
      <c r="JG13" s="45">
        <v>6.518000000000001</v>
      </c>
      <c r="JH13" s="6" t="s">
        <v>15</v>
      </c>
      <c r="JI13" s="6" t="s">
        <v>17</v>
      </c>
      <c r="JJ13" s="0" t="s">
        <v>362</v>
      </c>
      <c r="JK13" s="0" t="s">
        <v>363</v>
      </c>
      <c r="JL13" s="0" t="s">
        <v>363</v>
      </c>
      <c r="JM13" s="0" t="s">
        <v>118</v>
      </c>
      <c r="JN13" s="39">
        <v>0</v>
      </c>
      <c r="JO13" s="0" t="s">
        <v>363</v>
      </c>
      <c r="JP13" s="0" t="s">
        <v>117</v>
      </c>
      <c r="JQ13" s="0" t="s">
        <v>363</v>
      </c>
      <c r="JS13" s="46">
        <v>8.49375</v>
      </c>
      <c r="JT13" s="46">
        <v>8.74485</v>
      </c>
      <c r="JU13" s="46">
        <v>6.4590000000000005</v>
      </c>
      <c r="JV13" s="6" t="s">
        <v>15</v>
      </c>
      <c r="JW13" s="6">
        <v>5</v>
      </c>
      <c r="JX13" s="6">
        <v>5</v>
      </c>
      <c r="JY13" s="6">
        <v>10</v>
      </c>
      <c r="JZ13" s="6" t="s">
        <v>15</v>
      </c>
      <c r="KA13" s="45">
        <v>6.4590000000000005</v>
      </c>
      <c r="KB13" s="6" t="s">
        <v>15</v>
      </c>
      <c r="KC13" s="6" t="s">
        <v>17</v>
      </c>
      <c r="KD13" s="0" t="s">
        <v>362</v>
      </c>
      <c r="KE13" s="0" t="s">
        <v>363</v>
      </c>
      <c r="KF13" s="0" t="s">
        <v>363</v>
      </c>
      <c r="KG13" s="0" t="s">
        <v>118</v>
      </c>
      <c r="KH13" s="39">
        <v>0</v>
      </c>
      <c r="KI13" s="0" t="s">
        <v>363</v>
      </c>
      <c r="KJ13" s="0" t="s">
        <v>117</v>
      </c>
      <c r="KK13" s="0" t="s">
        <v>363</v>
      </c>
      <c r="KM13" s="46">
        <v>8.36875</v>
      </c>
      <c r="KN13" s="46">
        <v>8.68185</v>
      </c>
      <c r="KO13" s="46">
        <v>6.4</v>
      </c>
      <c r="KP13" s="6" t="s">
        <v>15</v>
      </c>
      <c r="KQ13" s="6">
        <v>6</v>
      </c>
      <c r="KR13" s="6">
        <v>6</v>
      </c>
      <c r="KS13" s="6">
        <v>11</v>
      </c>
      <c r="KT13" s="6" t="s">
        <v>15</v>
      </c>
      <c r="KU13" s="45">
        <v>6.4</v>
      </c>
      <c r="KV13" s="6" t="s">
        <v>15</v>
      </c>
      <c r="KW13" s="6" t="s">
        <v>17</v>
      </c>
      <c r="KX13" s="0" t="s">
        <v>362</v>
      </c>
      <c r="KY13" s="0" t="s">
        <v>363</v>
      </c>
      <c r="KZ13" s="0" t="s">
        <v>363</v>
      </c>
      <c r="LA13" s="0" t="s">
        <v>118</v>
      </c>
      <c r="LB13" s="39">
        <v>0</v>
      </c>
      <c r="LC13" s="0" t="s">
        <v>363</v>
      </c>
      <c r="LD13" s="0" t="s">
        <v>117</v>
      </c>
      <c r="LE13" s="0" t="s">
        <v>363</v>
      </c>
    </row>
    <row r="14">
      <c r="A14" s="35" t="s">
        <v>341</v>
      </c>
      <c r="B14" s="36" t="s">
        <v>342</v>
      </c>
      <c r="C14" s="35" t="s">
        <v>400</v>
      </c>
      <c r="D14" s="36">
        <v>30033</v>
      </c>
      <c r="E14" s="36" t="s">
        <v>344</v>
      </c>
      <c r="F14" s="35" t="s">
        <v>345</v>
      </c>
      <c r="G14" s="35" t="s">
        <v>45</v>
      </c>
      <c r="H14" s="36" t="s">
        <v>385</v>
      </c>
      <c r="I14" s="35" t="s">
        <v>347</v>
      </c>
      <c r="J14" s="35"/>
      <c r="K14" s="35" t="s">
        <v>401</v>
      </c>
      <c r="L14" s="35" t="s">
        <v>402</v>
      </c>
      <c r="M14" s="35" t="s">
        <v>403</v>
      </c>
      <c r="N14" s="35" t="s">
        <v>377</v>
      </c>
      <c r="O14" s="37">
        <v>63</v>
      </c>
      <c r="P14" s="37">
        <v>1549.8</v>
      </c>
      <c r="Q14" s="36" t="s">
        <v>15</v>
      </c>
      <c r="R14" s="35" t="s">
        <v>352</v>
      </c>
      <c r="S14" s="36" t="s">
        <v>368</v>
      </c>
      <c r="T14" s="35" t="s">
        <v>369</v>
      </c>
      <c r="U14" s="36" t="s">
        <v>15</v>
      </c>
      <c r="V14" s="36" t="s">
        <v>15</v>
      </c>
      <c r="W14" s="35" t="s">
        <v>62</v>
      </c>
      <c r="X14" s="36" t="s">
        <v>15</v>
      </c>
      <c r="Y14" s="36" t="s">
        <v>17</v>
      </c>
      <c r="Z14" s="38" t="s">
        <v>39</v>
      </c>
      <c r="AA14" s="36" t="s">
        <v>15</v>
      </c>
      <c r="AB14" s="35" t="s">
        <v>354</v>
      </c>
      <c r="AC14" s="36">
        <v>5</v>
      </c>
      <c r="AD14" s="36" t="s">
        <v>15</v>
      </c>
      <c r="AE14" s="36" t="s">
        <v>15</v>
      </c>
      <c r="AF14" s="36">
        <v>1970</v>
      </c>
      <c r="AG14" s="36">
        <v>57</v>
      </c>
      <c r="AH14" s="37">
        <v>50</v>
      </c>
      <c r="AI14" s="37">
        <v>278</v>
      </c>
      <c r="AJ14" s="37">
        <v>6</v>
      </c>
      <c r="AK14" s="36" t="s">
        <v>355</v>
      </c>
      <c r="AL14" s="37">
        <v>37</v>
      </c>
      <c r="AM14" s="35" t="s">
        <v>15</v>
      </c>
      <c r="AN14" s="35" t="s">
        <v>359</v>
      </c>
      <c r="AO14" s="36" t="s">
        <v>356</v>
      </c>
      <c r="AP14" s="36" t="s">
        <v>15</v>
      </c>
      <c r="AQ14" s="35" t="s">
        <v>357</v>
      </c>
      <c r="AR14" s="36" t="s">
        <v>15</v>
      </c>
      <c r="AS14" s="36" t="s">
        <v>15</v>
      </c>
      <c r="AT14" s="36" t="s">
        <v>17</v>
      </c>
      <c r="AU14" s="36" t="s">
        <v>15</v>
      </c>
      <c r="AV14" s="36" t="s">
        <v>17</v>
      </c>
      <c r="AW14" s="36" t="s">
        <v>15</v>
      </c>
      <c r="AX14" s="41" t="s">
        <v>371</v>
      </c>
      <c r="AY14" s="42">
        <v>697410</v>
      </c>
      <c r="AZ14" s="41" t="s">
        <v>359</v>
      </c>
      <c r="BA14" s="42">
        <v>0</v>
      </c>
      <c r="BB14" s="41" t="s">
        <v>359</v>
      </c>
      <c r="BC14" s="42">
        <v>0</v>
      </c>
      <c r="BD14" s="41" t="s">
        <v>359</v>
      </c>
      <c r="BE14" s="42">
        <v>0</v>
      </c>
      <c r="BF14" s="41" t="s">
        <v>359</v>
      </c>
      <c r="BG14" s="42">
        <v>0</v>
      </c>
      <c r="BH14" s="41" t="s">
        <v>359</v>
      </c>
      <c r="BI14" s="42">
        <v>0</v>
      </c>
      <c r="BJ14" s="41" t="s">
        <v>359</v>
      </c>
      <c r="BK14" s="42">
        <v>0</v>
      </c>
      <c r="BL14" s="41" t="s">
        <v>359</v>
      </c>
      <c r="BM14" s="42">
        <v>0</v>
      </c>
      <c r="BN14" s="41" t="s">
        <v>359</v>
      </c>
      <c r="BO14" s="42">
        <v>0</v>
      </c>
      <c r="BP14" s="41" t="s">
        <v>359</v>
      </c>
      <c r="BQ14" s="42">
        <v>0</v>
      </c>
      <c r="BR14" s="41" t="s">
        <v>359</v>
      </c>
      <c r="BS14" s="42">
        <v>0</v>
      </c>
      <c r="BT14" s="36" t="s">
        <v>360</v>
      </c>
      <c r="BU14" s="36" t="s">
        <v>359</v>
      </c>
      <c r="BV14" s="35"/>
      <c r="BW14" s="35" t="s">
        <v>361</v>
      </c>
      <c r="BX14" s="35" t="s">
        <v>359</v>
      </c>
      <c r="BY14" s="35" t="s">
        <v>359</v>
      </c>
      <c r="BZ14" s="35" t="s">
        <v>359</v>
      </c>
      <c r="CA14" s="35" t="s">
        <v>359</v>
      </c>
      <c r="CB14" s="35" t="s">
        <v>359</v>
      </c>
      <c r="CC14" s="35" t="s">
        <v>359</v>
      </c>
      <c r="CD14" s="35" t="s">
        <v>359</v>
      </c>
      <c r="CE14" s="35" t="s">
        <v>359</v>
      </c>
      <c r="CF14" s="35" t="s">
        <v>359</v>
      </c>
      <c r="CG14" s="35" t="s">
        <v>359</v>
      </c>
      <c r="CI14" s="47">
        <v>4.29</v>
      </c>
      <c r="CJ14" s="47">
        <v>4.300000000000001</v>
      </c>
      <c r="CK14" s="47">
        <v>5.509</v>
      </c>
      <c r="CL14" s="36" t="s">
        <v>15</v>
      </c>
      <c r="CM14" s="36">
        <v>12</v>
      </c>
      <c r="CN14" s="36">
        <v>12</v>
      </c>
      <c r="CO14" s="36">
        <v>12</v>
      </c>
      <c r="CP14" s="36" t="s">
        <v>15</v>
      </c>
      <c r="CQ14" s="48">
        <v>4.29</v>
      </c>
      <c r="CR14" s="36" t="s">
        <v>17</v>
      </c>
      <c r="CS14" s="36" t="s">
        <v>17</v>
      </c>
      <c r="CU14" s="47">
        <v>9.99</v>
      </c>
      <c r="CV14" s="47">
        <v>9.99</v>
      </c>
      <c r="CW14" s="47">
        <v>6.99</v>
      </c>
      <c r="CX14" s="36" t="s">
        <v>15</v>
      </c>
      <c r="CY14" s="36">
        <v>1</v>
      </c>
      <c r="CZ14" s="36">
        <v>1</v>
      </c>
      <c r="DA14" s="36">
        <v>1</v>
      </c>
      <c r="DB14" s="36" t="s">
        <v>15</v>
      </c>
      <c r="DC14" s="48">
        <v>6.99</v>
      </c>
      <c r="DD14" s="36" t="s">
        <v>15</v>
      </c>
      <c r="DE14" s="36" t="s">
        <v>17</v>
      </c>
      <c r="DF14" s="35" t="s">
        <v>362</v>
      </c>
      <c r="DG14" s="35" t="s">
        <v>363</v>
      </c>
      <c r="DH14" s="35" t="s">
        <v>136</v>
      </c>
      <c r="DI14" s="35" t="s">
        <v>128</v>
      </c>
      <c r="DJ14" s="40">
        <v>697410</v>
      </c>
      <c r="DK14" s="35" t="s">
        <v>363</v>
      </c>
      <c r="DL14" s="35" t="s">
        <v>122</v>
      </c>
      <c r="DM14" s="35" t="s">
        <v>363</v>
      </c>
      <c r="DO14" s="47">
        <v>9.790000000000001</v>
      </c>
      <c r="DP14" s="47">
        <v>9.790000000000001</v>
      </c>
      <c r="DQ14" s="47">
        <v>6.931</v>
      </c>
      <c r="DR14" s="36" t="s">
        <v>15</v>
      </c>
      <c r="DS14" s="36">
        <v>2</v>
      </c>
      <c r="DT14" s="36">
        <v>2</v>
      </c>
      <c r="DU14" s="36">
        <v>2</v>
      </c>
      <c r="DV14" s="36" t="s">
        <v>15</v>
      </c>
      <c r="DW14" s="48">
        <v>6.931</v>
      </c>
      <c r="DX14" s="36" t="s">
        <v>15</v>
      </c>
      <c r="DY14" s="36" t="s">
        <v>17</v>
      </c>
      <c r="DZ14" s="35" t="s">
        <v>362</v>
      </c>
      <c r="EA14" s="35" t="s">
        <v>363</v>
      </c>
      <c r="EB14" s="35" t="s">
        <v>363</v>
      </c>
      <c r="EC14" s="35" t="s">
        <v>118</v>
      </c>
      <c r="ED14" s="40">
        <v>0</v>
      </c>
      <c r="EE14" s="35" t="s">
        <v>363</v>
      </c>
      <c r="EF14" s="35" t="s">
        <v>117</v>
      </c>
      <c r="EG14" s="35" t="s">
        <v>363</v>
      </c>
      <c r="EI14" s="47">
        <v>9.59</v>
      </c>
      <c r="EJ14" s="47">
        <v>9.59</v>
      </c>
      <c r="EK14" s="47">
        <v>6.872000000000001</v>
      </c>
      <c r="EL14" s="36" t="s">
        <v>15</v>
      </c>
      <c r="EM14" s="36">
        <v>3</v>
      </c>
      <c r="EN14" s="36">
        <v>3</v>
      </c>
      <c r="EO14" s="36">
        <v>3</v>
      </c>
      <c r="EP14" s="36" t="s">
        <v>15</v>
      </c>
      <c r="EQ14" s="48">
        <v>6.872000000000001</v>
      </c>
      <c r="ER14" s="36" t="s">
        <v>15</v>
      </c>
      <c r="ES14" s="36" t="s">
        <v>17</v>
      </c>
      <c r="ET14" s="35" t="s">
        <v>362</v>
      </c>
      <c r="EU14" s="35" t="s">
        <v>363</v>
      </c>
      <c r="EV14" s="35" t="s">
        <v>363</v>
      </c>
      <c r="EW14" s="35" t="s">
        <v>118</v>
      </c>
      <c r="EX14" s="40">
        <v>0</v>
      </c>
      <c r="EY14" s="35" t="s">
        <v>363</v>
      </c>
      <c r="EZ14" s="35" t="s">
        <v>117</v>
      </c>
      <c r="FA14" s="35" t="s">
        <v>363</v>
      </c>
      <c r="FC14" s="47">
        <v>9.39</v>
      </c>
      <c r="FD14" s="47">
        <v>9.39</v>
      </c>
      <c r="FE14" s="47">
        <v>6.813000000000001</v>
      </c>
      <c r="FF14" s="36" t="s">
        <v>15</v>
      </c>
      <c r="FG14" s="36">
        <v>4</v>
      </c>
      <c r="FH14" s="36">
        <v>4</v>
      </c>
      <c r="FI14" s="36">
        <v>4</v>
      </c>
      <c r="FJ14" s="36" t="s">
        <v>15</v>
      </c>
      <c r="FK14" s="48">
        <v>6.813000000000001</v>
      </c>
      <c r="FL14" s="36" t="s">
        <v>15</v>
      </c>
      <c r="FM14" s="36" t="s">
        <v>17</v>
      </c>
      <c r="FN14" s="35" t="s">
        <v>362</v>
      </c>
      <c r="FO14" s="35" t="s">
        <v>363</v>
      </c>
      <c r="FP14" s="35" t="s">
        <v>363</v>
      </c>
      <c r="FQ14" s="35" t="s">
        <v>118</v>
      </c>
      <c r="FR14" s="40">
        <v>0</v>
      </c>
      <c r="FS14" s="35" t="s">
        <v>363</v>
      </c>
      <c r="FT14" s="35" t="s">
        <v>117</v>
      </c>
      <c r="FU14" s="35" t="s">
        <v>363</v>
      </c>
      <c r="FW14" s="47">
        <v>9.19</v>
      </c>
      <c r="FX14" s="47">
        <v>9.19</v>
      </c>
      <c r="FY14" s="47">
        <v>6.7540000000000004</v>
      </c>
      <c r="FZ14" s="36" t="s">
        <v>15</v>
      </c>
      <c r="GA14" s="36">
        <v>5</v>
      </c>
      <c r="GB14" s="36">
        <v>5</v>
      </c>
      <c r="GC14" s="36">
        <v>5</v>
      </c>
      <c r="GD14" s="36" t="s">
        <v>15</v>
      </c>
      <c r="GE14" s="48">
        <v>6.7540000000000004</v>
      </c>
      <c r="GF14" s="36" t="s">
        <v>15</v>
      </c>
      <c r="GG14" s="36" t="s">
        <v>17</v>
      </c>
      <c r="GH14" s="35" t="s">
        <v>362</v>
      </c>
      <c r="GI14" s="35" t="s">
        <v>363</v>
      </c>
      <c r="GJ14" s="35" t="s">
        <v>363</v>
      </c>
      <c r="GK14" s="35" t="s">
        <v>118</v>
      </c>
      <c r="GL14" s="40">
        <v>0</v>
      </c>
      <c r="GM14" s="35" t="s">
        <v>363</v>
      </c>
      <c r="GN14" s="35" t="s">
        <v>117</v>
      </c>
      <c r="GO14" s="35" t="s">
        <v>363</v>
      </c>
      <c r="GQ14" s="47">
        <v>8.99375</v>
      </c>
      <c r="GR14" s="47">
        <v>8.99685</v>
      </c>
      <c r="GS14" s="47">
        <v>6.695</v>
      </c>
      <c r="GT14" s="36" t="s">
        <v>15</v>
      </c>
      <c r="GU14" s="36">
        <v>1</v>
      </c>
      <c r="GV14" s="36">
        <v>1</v>
      </c>
      <c r="GW14" s="36">
        <v>6</v>
      </c>
      <c r="GX14" s="36" t="s">
        <v>15</v>
      </c>
      <c r="GY14" s="48">
        <v>6.695</v>
      </c>
      <c r="GZ14" s="36" t="s">
        <v>15</v>
      </c>
      <c r="HA14" s="36" t="s">
        <v>17</v>
      </c>
      <c r="HB14" s="35" t="s">
        <v>362</v>
      </c>
      <c r="HC14" s="35" t="s">
        <v>363</v>
      </c>
      <c r="HD14" s="35" t="s">
        <v>363</v>
      </c>
      <c r="HE14" s="35" t="s">
        <v>118</v>
      </c>
      <c r="HF14" s="40">
        <v>0</v>
      </c>
      <c r="HG14" s="35" t="s">
        <v>363</v>
      </c>
      <c r="HH14" s="35" t="s">
        <v>117</v>
      </c>
      <c r="HI14" s="35" t="s">
        <v>363</v>
      </c>
      <c r="HK14" s="47">
        <v>8.86875</v>
      </c>
      <c r="HL14" s="47">
        <v>8.93385</v>
      </c>
      <c r="HM14" s="47">
        <v>6.636</v>
      </c>
      <c r="HN14" s="36" t="s">
        <v>15</v>
      </c>
      <c r="HO14" s="36">
        <v>2</v>
      </c>
      <c r="HP14" s="36">
        <v>2</v>
      </c>
      <c r="HQ14" s="36">
        <v>7</v>
      </c>
      <c r="HR14" s="36" t="s">
        <v>15</v>
      </c>
      <c r="HS14" s="48">
        <v>6.636</v>
      </c>
      <c r="HT14" s="36" t="s">
        <v>15</v>
      </c>
      <c r="HU14" s="36" t="s">
        <v>17</v>
      </c>
      <c r="HV14" s="35" t="s">
        <v>362</v>
      </c>
      <c r="HW14" s="35" t="s">
        <v>363</v>
      </c>
      <c r="HX14" s="35" t="s">
        <v>363</v>
      </c>
      <c r="HY14" s="35" t="s">
        <v>118</v>
      </c>
      <c r="HZ14" s="40">
        <v>0</v>
      </c>
      <c r="IA14" s="35" t="s">
        <v>363</v>
      </c>
      <c r="IB14" s="35" t="s">
        <v>117</v>
      </c>
      <c r="IC14" s="35" t="s">
        <v>363</v>
      </c>
      <c r="IE14" s="47">
        <v>8.74375</v>
      </c>
      <c r="IF14" s="47">
        <v>8.87085</v>
      </c>
      <c r="IG14" s="47">
        <v>6.577000000000001</v>
      </c>
      <c r="IH14" s="36" t="s">
        <v>15</v>
      </c>
      <c r="II14" s="36">
        <v>3</v>
      </c>
      <c r="IJ14" s="36">
        <v>3</v>
      </c>
      <c r="IK14" s="36">
        <v>8</v>
      </c>
      <c r="IL14" s="36" t="s">
        <v>15</v>
      </c>
      <c r="IM14" s="48">
        <v>6.577000000000001</v>
      </c>
      <c r="IN14" s="36" t="s">
        <v>15</v>
      </c>
      <c r="IO14" s="36" t="s">
        <v>17</v>
      </c>
      <c r="IP14" s="35" t="s">
        <v>362</v>
      </c>
      <c r="IQ14" s="35" t="s">
        <v>363</v>
      </c>
      <c r="IR14" s="35" t="s">
        <v>363</v>
      </c>
      <c r="IS14" s="35" t="s">
        <v>118</v>
      </c>
      <c r="IT14" s="40">
        <v>0</v>
      </c>
      <c r="IU14" s="35" t="s">
        <v>363</v>
      </c>
      <c r="IV14" s="35" t="s">
        <v>117</v>
      </c>
      <c r="IW14" s="35" t="s">
        <v>363</v>
      </c>
      <c r="IY14" s="47">
        <v>8.61875</v>
      </c>
      <c r="IZ14" s="47">
        <v>8.80785</v>
      </c>
      <c r="JA14" s="47">
        <v>6.518000000000001</v>
      </c>
      <c r="JB14" s="36" t="s">
        <v>15</v>
      </c>
      <c r="JC14" s="36">
        <v>4</v>
      </c>
      <c r="JD14" s="36">
        <v>4</v>
      </c>
      <c r="JE14" s="36">
        <v>9</v>
      </c>
      <c r="JF14" s="36" t="s">
        <v>15</v>
      </c>
      <c r="JG14" s="48">
        <v>6.518000000000001</v>
      </c>
      <c r="JH14" s="36" t="s">
        <v>15</v>
      </c>
      <c r="JI14" s="36" t="s">
        <v>17</v>
      </c>
      <c r="JJ14" s="35" t="s">
        <v>362</v>
      </c>
      <c r="JK14" s="35" t="s">
        <v>363</v>
      </c>
      <c r="JL14" s="35" t="s">
        <v>363</v>
      </c>
      <c r="JM14" s="35" t="s">
        <v>118</v>
      </c>
      <c r="JN14" s="40">
        <v>0</v>
      </c>
      <c r="JO14" s="35" t="s">
        <v>363</v>
      </c>
      <c r="JP14" s="35" t="s">
        <v>117</v>
      </c>
      <c r="JQ14" s="35" t="s">
        <v>363</v>
      </c>
      <c r="JS14" s="47">
        <v>8.49375</v>
      </c>
      <c r="JT14" s="47">
        <v>8.74485</v>
      </c>
      <c r="JU14" s="47">
        <v>6.4590000000000005</v>
      </c>
      <c r="JV14" s="36" t="s">
        <v>15</v>
      </c>
      <c r="JW14" s="36">
        <v>5</v>
      </c>
      <c r="JX14" s="36">
        <v>5</v>
      </c>
      <c r="JY14" s="36">
        <v>10</v>
      </c>
      <c r="JZ14" s="36" t="s">
        <v>15</v>
      </c>
      <c r="KA14" s="48">
        <v>6.4590000000000005</v>
      </c>
      <c r="KB14" s="36" t="s">
        <v>15</v>
      </c>
      <c r="KC14" s="36" t="s">
        <v>17</v>
      </c>
      <c r="KD14" s="35" t="s">
        <v>362</v>
      </c>
      <c r="KE14" s="35" t="s">
        <v>363</v>
      </c>
      <c r="KF14" s="35" t="s">
        <v>363</v>
      </c>
      <c r="KG14" s="35" t="s">
        <v>118</v>
      </c>
      <c r="KH14" s="40">
        <v>0</v>
      </c>
      <c r="KI14" s="35" t="s">
        <v>363</v>
      </c>
      <c r="KJ14" s="35" t="s">
        <v>117</v>
      </c>
      <c r="KK14" s="35" t="s">
        <v>363</v>
      </c>
      <c r="KM14" s="47">
        <v>8.36875</v>
      </c>
      <c r="KN14" s="47">
        <v>8.68185</v>
      </c>
      <c r="KO14" s="47">
        <v>6.4</v>
      </c>
      <c r="KP14" s="36" t="s">
        <v>15</v>
      </c>
      <c r="KQ14" s="36">
        <v>6</v>
      </c>
      <c r="KR14" s="36">
        <v>6</v>
      </c>
      <c r="KS14" s="36">
        <v>11</v>
      </c>
      <c r="KT14" s="36" t="s">
        <v>15</v>
      </c>
      <c r="KU14" s="48">
        <v>6.4</v>
      </c>
      <c r="KV14" s="36" t="s">
        <v>15</v>
      </c>
      <c r="KW14" s="36" t="s">
        <v>17</v>
      </c>
      <c r="KX14" s="35" t="s">
        <v>362</v>
      </c>
      <c r="KY14" s="35" t="s">
        <v>363</v>
      </c>
      <c r="KZ14" s="35" t="s">
        <v>363</v>
      </c>
      <c r="LA14" s="35" t="s">
        <v>118</v>
      </c>
      <c r="LB14" s="40">
        <v>0</v>
      </c>
      <c r="LC14" s="35" t="s">
        <v>363</v>
      </c>
      <c r="LD14" s="35" t="s">
        <v>117</v>
      </c>
      <c r="LE14" s="35" t="s">
        <v>363</v>
      </c>
    </row>
    <row r="15">
      <c r="A15" s="0" t="s">
        <v>341</v>
      </c>
      <c r="B15" s="6" t="s">
        <v>342</v>
      </c>
      <c r="C15" s="0" t="s">
        <v>404</v>
      </c>
      <c r="D15" s="6">
        <v>30035</v>
      </c>
      <c r="E15" s="6" t="s">
        <v>344</v>
      </c>
      <c r="F15" s="0" t="s">
        <v>345</v>
      </c>
      <c r="G15" s="0" t="s">
        <v>45</v>
      </c>
      <c r="H15" s="6" t="s">
        <v>385</v>
      </c>
      <c r="I15" s="0" t="s">
        <v>347</v>
      </c>
      <c r="K15" s="0" t="s">
        <v>405</v>
      </c>
      <c r="L15" s="0" t="s">
        <v>406</v>
      </c>
      <c r="M15" s="0" t="s">
        <v>407</v>
      </c>
      <c r="N15" s="0" t="s">
        <v>377</v>
      </c>
      <c r="O15" s="33">
        <v>33</v>
      </c>
      <c r="P15" s="33">
        <v>801.9</v>
      </c>
      <c r="Q15" s="6" t="s">
        <v>15</v>
      </c>
      <c r="R15" s="0" t="s">
        <v>352</v>
      </c>
      <c r="S15" s="6" t="s">
        <v>368</v>
      </c>
      <c r="T15" s="0" t="s">
        <v>369</v>
      </c>
      <c r="U15" s="6" t="s">
        <v>15</v>
      </c>
      <c r="V15" s="6" t="s">
        <v>15</v>
      </c>
      <c r="W15" s="0" t="s">
        <v>62</v>
      </c>
      <c r="X15" s="6" t="s">
        <v>15</v>
      </c>
      <c r="Y15" s="6" t="s">
        <v>17</v>
      </c>
      <c r="Z15" s="34" t="s">
        <v>39</v>
      </c>
      <c r="AA15" s="6" t="s">
        <v>15</v>
      </c>
      <c r="AB15" s="0" t="s">
        <v>354</v>
      </c>
      <c r="AC15" s="6">
        <v>5</v>
      </c>
      <c r="AD15" s="6" t="s">
        <v>15</v>
      </c>
      <c r="AE15" s="6" t="s">
        <v>15</v>
      </c>
      <c r="AF15" s="6">
        <v>1960</v>
      </c>
      <c r="AG15" s="6">
        <v>67</v>
      </c>
      <c r="AH15" s="33">
        <v>50</v>
      </c>
      <c r="AI15" s="33">
        <v>200</v>
      </c>
      <c r="AJ15" s="33">
        <v>5</v>
      </c>
      <c r="AK15" s="6" t="s">
        <v>355</v>
      </c>
      <c r="AL15" s="33">
        <v>24</v>
      </c>
      <c r="AM15" s="0" t="s">
        <v>15</v>
      </c>
      <c r="AN15" s="0" t="s">
        <v>359</v>
      </c>
      <c r="AO15" s="6" t="s">
        <v>356</v>
      </c>
      <c r="AP15" s="6" t="s">
        <v>15</v>
      </c>
      <c r="AQ15" s="0" t="s">
        <v>357</v>
      </c>
      <c r="AR15" s="6" t="s">
        <v>15</v>
      </c>
      <c r="AS15" s="6" t="s">
        <v>15</v>
      </c>
      <c r="AT15" s="6" t="s">
        <v>17</v>
      </c>
      <c r="AU15" s="6" t="s">
        <v>15</v>
      </c>
      <c r="AV15" s="6" t="s">
        <v>17</v>
      </c>
      <c r="AW15" s="6" t="s">
        <v>15</v>
      </c>
      <c r="AX15" s="43" t="s">
        <v>371</v>
      </c>
      <c r="AY15" s="44">
        <v>360855</v>
      </c>
      <c r="AZ15" s="43" t="s">
        <v>359</v>
      </c>
      <c r="BA15" s="44">
        <v>0</v>
      </c>
      <c r="BB15" s="43" t="s">
        <v>359</v>
      </c>
      <c r="BC15" s="44">
        <v>0</v>
      </c>
      <c r="BD15" s="43" t="s">
        <v>359</v>
      </c>
      <c r="BE15" s="44">
        <v>0</v>
      </c>
      <c r="BF15" s="43" t="s">
        <v>359</v>
      </c>
      <c r="BG15" s="44">
        <v>0</v>
      </c>
      <c r="BH15" s="43" t="s">
        <v>359</v>
      </c>
      <c r="BI15" s="44">
        <v>0</v>
      </c>
      <c r="BJ15" s="43" t="s">
        <v>359</v>
      </c>
      <c r="BK15" s="44">
        <v>0</v>
      </c>
      <c r="BL15" s="43" t="s">
        <v>359</v>
      </c>
      <c r="BM15" s="44">
        <v>0</v>
      </c>
      <c r="BN15" s="43" t="s">
        <v>359</v>
      </c>
      <c r="BO15" s="44">
        <v>0</v>
      </c>
      <c r="BP15" s="43" t="s">
        <v>359</v>
      </c>
      <c r="BQ15" s="44">
        <v>0</v>
      </c>
      <c r="BR15" s="43" t="s">
        <v>359</v>
      </c>
      <c r="BS15" s="44">
        <v>0</v>
      </c>
      <c r="BT15" s="6" t="s">
        <v>360</v>
      </c>
      <c r="BU15" s="6" t="s">
        <v>359</v>
      </c>
      <c r="BW15" s="0" t="s">
        <v>361</v>
      </c>
      <c r="BX15" s="0" t="s">
        <v>359</v>
      </c>
      <c r="BY15" s="0" t="s">
        <v>359</v>
      </c>
      <c r="BZ15" s="0" t="s">
        <v>359</v>
      </c>
      <c r="CA15" s="0" t="s">
        <v>359</v>
      </c>
      <c r="CB15" s="0" t="s">
        <v>359</v>
      </c>
      <c r="CC15" s="0" t="s">
        <v>359</v>
      </c>
      <c r="CD15" s="0" t="s">
        <v>359</v>
      </c>
      <c r="CE15" s="0" t="s">
        <v>359</v>
      </c>
      <c r="CF15" s="0" t="s">
        <v>359</v>
      </c>
      <c r="CG15" s="0" t="s">
        <v>359</v>
      </c>
      <c r="CI15" s="46">
        <v>3.228</v>
      </c>
      <c r="CJ15" s="46">
        <v>3.0180000000000016</v>
      </c>
      <c r="CK15" s="46">
        <v>5.683</v>
      </c>
      <c r="CL15" s="6" t="s">
        <v>15</v>
      </c>
      <c r="CM15" s="6">
        <v>6</v>
      </c>
      <c r="CN15" s="6">
        <v>9</v>
      </c>
      <c r="CO15" s="6">
        <v>6</v>
      </c>
      <c r="CP15" s="6" t="s">
        <v>15</v>
      </c>
      <c r="CQ15" s="49">
        <v>3.0180000000000016</v>
      </c>
      <c r="CR15" s="6" t="s">
        <v>17</v>
      </c>
      <c r="CS15" s="6" t="s">
        <v>17</v>
      </c>
      <c r="CU15" s="46">
        <v>9.99</v>
      </c>
      <c r="CV15" s="46">
        <v>9.99</v>
      </c>
      <c r="CW15" s="46">
        <v>6.99</v>
      </c>
      <c r="CX15" s="6" t="s">
        <v>15</v>
      </c>
      <c r="CY15" s="6">
        <v>1</v>
      </c>
      <c r="CZ15" s="6">
        <v>1</v>
      </c>
      <c r="DA15" s="6">
        <v>1</v>
      </c>
      <c r="DB15" s="6" t="s">
        <v>15</v>
      </c>
      <c r="DC15" s="45">
        <v>6.99</v>
      </c>
      <c r="DD15" s="6" t="s">
        <v>15</v>
      </c>
      <c r="DE15" s="6" t="s">
        <v>17</v>
      </c>
      <c r="DF15" s="0" t="s">
        <v>362</v>
      </c>
      <c r="DG15" s="0" t="s">
        <v>363</v>
      </c>
      <c r="DH15" s="0" t="s">
        <v>136</v>
      </c>
      <c r="DI15" s="0" t="s">
        <v>128</v>
      </c>
      <c r="DJ15" s="39">
        <v>360855</v>
      </c>
      <c r="DK15" s="0" t="s">
        <v>363</v>
      </c>
      <c r="DL15" s="0" t="s">
        <v>122</v>
      </c>
      <c r="DM15" s="0" t="s">
        <v>363</v>
      </c>
      <c r="DO15" s="46">
        <v>9.790000000000001</v>
      </c>
      <c r="DP15" s="46">
        <v>9.790000000000001</v>
      </c>
      <c r="DQ15" s="46">
        <v>6.931</v>
      </c>
      <c r="DR15" s="6" t="s">
        <v>15</v>
      </c>
      <c r="DS15" s="6">
        <v>2</v>
      </c>
      <c r="DT15" s="6">
        <v>2</v>
      </c>
      <c r="DU15" s="6">
        <v>2</v>
      </c>
      <c r="DV15" s="6" t="s">
        <v>15</v>
      </c>
      <c r="DW15" s="45">
        <v>6.931</v>
      </c>
      <c r="DX15" s="6" t="s">
        <v>15</v>
      </c>
      <c r="DY15" s="6" t="s">
        <v>17</v>
      </c>
      <c r="DZ15" s="0" t="s">
        <v>362</v>
      </c>
      <c r="EA15" s="0" t="s">
        <v>363</v>
      </c>
      <c r="EB15" s="0" t="s">
        <v>363</v>
      </c>
      <c r="EC15" s="0" t="s">
        <v>118</v>
      </c>
      <c r="ED15" s="39">
        <v>0</v>
      </c>
      <c r="EE15" s="0" t="s">
        <v>363</v>
      </c>
      <c r="EF15" s="0" t="s">
        <v>117</v>
      </c>
      <c r="EG15" s="0" t="s">
        <v>363</v>
      </c>
      <c r="EI15" s="46">
        <v>9.59</v>
      </c>
      <c r="EJ15" s="46">
        <v>9.59</v>
      </c>
      <c r="EK15" s="46">
        <v>6.872000000000001</v>
      </c>
      <c r="EL15" s="6" t="s">
        <v>15</v>
      </c>
      <c r="EM15" s="6">
        <v>3</v>
      </c>
      <c r="EN15" s="6">
        <v>3</v>
      </c>
      <c r="EO15" s="6">
        <v>3</v>
      </c>
      <c r="EP15" s="6" t="s">
        <v>15</v>
      </c>
      <c r="EQ15" s="45">
        <v>6.872000000000001</v>
      </c>
      <c r="ER15" s="6" t="s">
        <v>15</v>
      </c>
      <c r="ES15" s="6" t="s">
        <v>17</v>
      </c>
      <c r="ET15" s="0" t="s">
        <v>362</v>
      </c>
      <c r="EU15" s="0" t="s">
        <v>363</v>
      </c>
      <c r="EV15" s="0" t="s">
        <v>363</v>
      </c>
      <c r="EW15" s="0" t="s">
        <v>118</v>
      </c>
      <c r="EX15" s="39">
        <v>0</v>
      </c>
      <c r="EY15" s="0" t="s">
        <v>363</v>
      </c>
      <c r="EZ15" s="0" t="s">
        <v>117</v>
      </c>
      <c r="FA15" s="0" t="s">
        <v>363</v>
      </c>
      <c r="FC15" s="46">
        <v>9.39</v>
      </c>
      <c r="FD15" s="46">
        <v>9.39</v>
      </c>
      <c r="FE15" s="46">
        <v>6.813000000000001</v>
      </c>
      <c r="FF15" s="6" t="s">
        <v>15</v>
      </c>
      <c r="FG15" s="6">
        <v>4</v>
      </c>
      <c r="FH15" s="6">
        <v>4</v>
      </c>
      <c r="FI15" s="6">
        <v>4</v>
      </c>
      <c r="FJ15" s="6" t="s">
        <v>15</v>
      </c>
      <c r="FK15" s="45">
        <v>6.813000000000001</v>
      </c>
      <c r="FL15" s="6" t="s">
        <v>15</v>
      </c>
      <c r="FM15" s="6" t="s">
        <v>17</v>
      </c>
      <c r="FN15" s="0" t="s">
        <v>362</v>
      </c>
      <c r="FO15" s="0" t="s">
        <v>363</v>
      </c>
      <c r="FP15" s="0" t="s">
        <v>363</v>
      </c>
      <c r="FQ15" s="0" t="s">
        <v>118</v>
      </c>
      <c r="FR15" s="39">
        <v>0</v>
      </c>
      <c r="FS15" s="0" t="s">
        <v>363</v>
      </c>
      <c r="FT15" s="0" t="s">
        <v>117</v>
      </c>
      <c r="FU15" s="0" t="s">
        <v>363</v>
      </c>
      <c r="FW15" s="46">
        <v>9.19</v>
      </c>
      <c r="FX15" s="46">
        <v>9.19</v>
      </c>
      <c r="FY15" s="46">
        <v>6.7540000000000004</v>
      </c>
      <c r="FZ15" s="6" t="s">
        <v>15</v>
      </c>
      <c r="GA15" s="6">
        <v>5</v>
      </c>
      <c r="GB15" s="6">
        <v>5</v>
      </c>
      <c r="GC15" s="6">
        <v>5</v>
      </c>
      <c r="GD15" s="6" t="s">
        <v>15</v>
      </c>
      <c r="GE15" s="45">
        <v>6.7540000000000004</v>
      </c>
      <c r="GF15" s="6" t="s">
        <v>15</v>
      </c>
      <c r="GG15" s="6" t="s">
        <v>17</v>
      </c>
      <c r="GH15" s="0" t="s">
        <v>362</v>
      </c>
      <c r="GI15" s="0" t="s">
        <v>363</v>
      </c>
      <c r="GJ15" s="0" t="s">
        <v>363</v>
      </c>
      <c r="GK15" s="0" t="s">
        <v>118</v>
      </c>
      <c r="GL15" s="39">
        <v>0</v>
      </c>
      <c r="GM15" s="0" t="s">
        <v>363</v>
      </c>
      <c r="GN15" s="0" t="s">
        <v>117</v>
      </c>
      <c r="GO15" s="0" t="s">
        <v>363</v>
      </c>
      <c r="GQ15" s="46">
        <v>8.99375</v>
      </c>
      <c r="GR15" s="46">
        <v>8.99685</v>
      </c>
      <c r="GS15" s="46">
        <v>6.695</v>
      </c>
      <c r="GT15" s="6" t="s">
        <v>15</v>
      </c>
      <c r="GU15" s="6">
        <v>1</v>
      </c>
      <c r="GV15" s="6">
        <v>1</v>
      </c>
      <c r="GW15" s="6">
        <v>6</v>
      </c>
      <c r="GX15" s="6" t="s">
        <v>15</v>
      </c>
      <c r="GY15" s="45">
        <v>6.695</v>
      </c>
      <c r="GZ15" s="6" t="s">
        <v>15</v>
      </c>
      <c r="HA15" s="6" t="s">
        <v>17</v>
      </c>
      <c r="HB15" s="0" t="s">
        <v>362</v>
      </c>
      <c r="HC15" s="0" t="s">
        <v>363</v>
      </c>
      <c r="HD15" s="0" t="s">
        <v>363</v>
      </c>
      <c r="HE15" s="0" t="s">
        <v>118</v>
      </c>
      <c r="HF15" s="39">
        <v>0</v>
      </c>
      <c r="HG15" s="0" t="s">
        <v>363</v>
      </c>
      <c r="HH15" s="0" t="s">
        <v>117</v>
      </c>
      <c r="HI15" s="0" t="s">
        <v>363</v>
      </c>
      <c r="HK15" s="46">
        <v>8.86875</v>
      </c>
      <c r="HL15" s="46">
        <v>8.93385</v>
      </c>
      <c r="HM15" s="46">
        <v>6.636</v>
      </c>
      <c r="HN15" s="6" t="s">
        <v>15</v>
      </c>
      <c r="HO15" s="6">
        <v>2</v>
      </c>
      <c r="HP15" s="6">
        <v>2</v>
      </c>
      <c r="HQ15" s="6">
        <v>7</v>
      </c>
      <c r="HR15" s="6" t="s">
        <v>15</v>
      </c>
      <c r="HS15" s="45">
        <v>6.636</v>
      </c>
      <c r="HT15" s="6" t="s">
        <v>15</v>
      </c>
      <c r="HU15" s="6" t="s">
        <v>17</v>
      </c>
      <c r="HV15" s="0" t="s">
        <v>362</v>
      </c>
      <c r="HW15" s="0" t="s">
        <v>363</v>
      </c>
      <c r="HX15" s="0" t="s">
        <v>363</v>
      </c>
      <c r="HY15" s="0" t="s">
        <v>118</v>
      </c>
      <c r="HZ15" s="39">
        <v>0</v>
      </c>
      <c r="IA15" s="0" t="s">
        <v>363</v>
      </c>
      <c r="IB15" s="0" t="s">
        <v>117</v>
      </c>
      <c r="IC15" s="0" t="s">
        <v>363</v>
      </c>
      <c r="IE15" s="46">
        <v>8.74375</v>
      </c>
      <c r="IF15" s="46">
        <v>8.87085</v>
      </c>
      <c r="IG15" s="46">
        <v>6.577000000000001</v>
      </c>
      <c r="IH15" s="6" t="s">
        <v>15</v>
      </c>
      <c r="II15" s="6">
        <v>3</v>
      </c>
      <c r="IJ15" s="6">
        <v>3</v>
      </c>
      <c r="IK15" s="6">
        <v>8</v>
      </c>
      <c r="IL15" s="6" t="s">
        <v>15</v>
      </c>
      <c r="IM15" s="45">
        <v>6.577000000000001</v>
      </c>
      <c r="IN15" s="6" t="s">
        <v>15</v>
      </c>
      <c r="IO15" s="6" t="s">
        <v>17</v>
      </c>
      <c r="IP15" s="0" t="s">
        <v>362</v>
      </c>
      <c r="IQ15" s="0" t="s">
        <v>363</v>
      </c>
      <c r="IR15" s="0" t="s">
        <v>363</v>
      </c>
      <c r="IS15" s="0" t="s">
        <v>118</v>
      </c>
      <c r="IT15" s="39">
        <v>0</v>
      </c>
      <c r="IU15" s="0" t="s">
        <v>363</v>
      </c>
      <c r="IV15" s="0" t="s">
        <v>117</v>
      </c>
      <c r="IW15" s="0" t="s">
        <v>363</v>
      </c>
      <c r="IY15" s="46">
        <v>8.61875</v>
      </c>
      <c r="IZ15" s="46">
        <v>8.80785</v>
      </c>
      <c r="JA15" s="46">
        <v>6.518000000000001</v>
      </c>
      <c r="JB15" s="6" t="s">
        <v>15</v>
      </c>
      <c r="JC15" s="6">
        <v>4</v>
      </c>
      <c r="JD15" s="6">
        <v>4</v>
      </c>
      <c r="JE15" s="6">
        <v>9</v>
      </c>
      <c r="JF15" s="6" t="s">
        <v>15</v>
      </c>
      <c r="JG15" s="45">
        <v>6.518000000000001</v>
      </c>
      <c r="JH15" s="6" t="s">
        <v>15</v>
      </c>
      <c r="JI15" s="6" t="s">
        <v>17</v>
      </c>
      <c r="JJ15" s="0" t="s">
        <v>362</v>
      </c>
      <c r="JK15" s="0" t="s">
        <v>363</v>
      </c>
      <c r="JL15" s="0" t="s">
        <v>363</v>
      </c>
      <c r="JM15" s="0" t="s">
        <v>118</v>
      </c>
      <c r="JN15" s="39">
        <v>0</v>
      </c>
      <c r="JO15" s="0" t="s">
        <v>363</v>
      </c>
      <c r="JP15" s="0" t="s">
        <v>117</v>
      </c>
      <c r="JQ15" s="0" t="s">
        <v>363</v>
      </c>
      <c r="JS15" s="46">
        <v>8.49375</v>
      </c>
      <c r="JT15" s="46">
        <v>8.74485</v>
      </c>
      <c r="JU15" s="46">
        <v>6.4590000000000005</v>
      </c>
      <c r="JV15" s="6" t="s">
        <v>15</v>
      </c>
      <c r="JW15" s="6">
        <v>5</v>
      </c>
      <c r="JX15" s="6">
        <v>5</v>
      </c>
      <c r="JY15" s="6">
        <v>10</v>
      </c>
      <c r="JZ15" s="6" t="s">
        <v>15</v>
      </c>
      <c r="KA15" s="45">
        <v>6.4590000000000005</v>
      </c>
      <c r="KB15" s="6" t="s">
        <v>15</v>
      </c>
      <c r="KC15" s="6" t="s">
        <v>17</v>
      </c>
      <c r="KD15" s="0" t="s">
        <v>362</v>
      </c>
      <c r="KE15" s="0" t="s">
        <v>363</v>
      </c>
      <c r="KF15" s="0" t="s">
        <v>363</v>
      </c>
      <c r="KG15" s="0" t="s">
        <v>118</v>
      </c>
      <c r="KH15" s="39">
        <v>0</v>
      </c>
      <c r="KI15" s="0" t="s">
        <v>363</v>
      </c>
      <c r="KJ15" s="0" t="s">
        <v>117</v>
      </c>
      <c r="KK15" s="0" t="s">
        <v>363</v>
      </c>
      <c r="KM15" s="46">
        <v>8.36875</v>
      </c>
      <c r="KN15" s="46">
        <v>8.68185</v>
      </c>
      <c r="KO15" s="46">
        <v>6.4</v>
      </c>
      <c r="KP15" s="6" t="s">
        <v>15</v>
      </c>
      <c r="KQ15" s="6">
        <v>6</v>
      </c>
      <c r="KR15" s="6">
        <v>6</v>
      </c>
      <c r="KS15" s="6">
        <v>11</v>
      </c>
      <c r="KT15" s="6" t="s">
        <v>15</v>
      </c>
      <c r="KU15" s="45">
        <v>6.4</v>
      </c>
      <c r="KV15" s="6" t="s">
        <v>15</v>
      </c>
      <c r="KW15" s="6" t="s">
        <v>17</v>
      </c>
      <c r="KX15" s="0" t="s">
        <v>362</v>
      </c>
      <c r="KY15" s="0" t="s">
        <v>363</v>
      </c>
      <c r="KZ15" s="0" t="s">
        <v>363</v>
      </c>
      <c r="LA15" s="0" t="s">
        <v>118</v>
      </c>
      <c r="LB15" s="39">
        <v>0</v>
      </c>
      <c r="LC15" s="0" t="s">
        <v>363</v>
      </c>
      <c r="LD15" s="0" t="s">
        <v>117</v>
      </c>
      <c r="LE15" s="0" t="s">
        <v>363</v>
      </c>
    </row>
    <row r="16">
      <c r="A16" s="35" t="s">
        <v>341</v>
      </c>
      <c r="B16" s="36" t="s">
        <v>342</v>
      </c>
      <c r="C16" s="35" t="s">
        <v>408</v>
      </c>
      <c r="D16" s="36">
        <v>30038</v>
      </c>
      <c r="E16" s="36" t="s">
        <v>344</v>
      </c>
      <c r="F16" s="35" t="s">
        <v>345</v>
      </c>
      <c r="G16" s="35" t="s">
        <v>45</v>
      </c>
      <c r="H16" s="36" t="s">
        <v>409</v>
      </c>
      <c r="I16" s="35" t="s">
        <v>347</v>
      </c>
      <c r="J16" s="35"/>
      <c r="K16" s="35" t="s">
        <v>410</v>
      </c>
      <c r="L16" s="35" t="s">
        <v>411</v>
      </c>
      <c r="M16" s="35" t="s">
        <v>412</v>
      </c>
      <c r="N16" s="35" t="s">
        <v>377</v>
      </c>
      <c r="O16" s="37">
        <v>58</v>
      </c>
      <c r="P16" s="37">
        <v>1426.8</v>
      </c>
      <c r="Q16" s="36" t="s">
        <v>15</v>
      </c>
      <c r="R16" s="35" t="s">
        <v>352</v>
      </c>
      <c r="S16" s="36" t="s">
        <v>368</v>
      </c>
      <c r="T16" s="35" t="s">
        <v>369</v>
      </c>
      <c r="U16" s="36" t="s">
        <v>15</v>
      </c>
      <c r="V16" s="36" t="s">
        <v>15</v>
      </c>
      <c r="W16" s="35" t="s">
        <v>62</v>
      </c>
      <c r="X16" s="36" t="s">
        <v>15</v>
      </c>
      <c r="Y16" s="36" t="s">
        <v>17</v>
      </c>
      <c r="Z16" s="38" t="s">
        <v>39</v>
      </c>
      <c r="AA16" s="36" t="s">
        <v>15</v>
      </c>
      <c r="AB16" s="35" t="s">
        <v>354</v>
      </c>
      <c r="AC16" s="36">
        <v>4</v>
      </c>
      <c r="AD16" s="36" t="s">
        <v>15</v>
      </c>
      <c r="AE16" s="36" t="s">
        <v>15</v>
      </c>
      <c r="AF16" s="36">
        <v>1956</v>
      </c>
      <c r="AG16" s="36">
        <v>71</v>
      </c>
      <c r="AH16" s="37">
        <v>50</v>
      </c>
      <c r="AI16" s="37">
        <v>534</v>
      </c>
      <c r="AJ16" s="37">
        <v>99</v>
      </c>
      <c r="AK16" s="36" t="s">
        <v>355</v>
      </c>
      <c r="AL16" s="37">
        <v>17</v>
      </c>
      <c r="AM16" s="35" t="s">
        <v>15</v>
      </c>
      <c r="AN16" s="35" t="s">
        <v>342</v>
      </c>
      <c r="AO16" s="36" t="s">
        <v>356</v>
      </c>
      <c r="AP16" s="36" t="s">
        <v>15</v>
      </c>
      <c r="AQ16" s="35" t="s">
        <v>357</v>
      </c>
      <c r="AR16" s="36" t="s">
        <v>15</v>
      </c>
      <c r="AS16" s="36" t="s">
        <v>15</v>
      </c>
      <c r="AT16" s="36" t="s">
        <v>17</v>
      </c>
      <c r="AU16" s="36" t="s">
        <v>15</v>
      </c>
      <c r="AV16" s="36" t="s">
        <v>17</v>
      </c>
      <c r="AW16" s="36" t="s">
        <v>15</v>
      </c>
      <c r="AX16" s="41" t="s">
        <v>383</v>
      </c>
      <c r="AY16" s="42">
        <v>1569480</v>
      </c>
      <c r="AZ16" s="41" t="s">
        <v>359</v>
      </c>
      <c r="BA16" s="42">
        <v>0</v>
      </c>
      <c r="BB16" s="41" t="s">
        <v>359</v>
      </c>
      <c r="BC16" s="42">
        <v>0</v>
      </c>
      <c r="BD16" s="41" t="s">
        <v>359</v>
      </c>
      <c r="BE16" s="42">
        <v>0</v>
      </c>
      <c r="BF16" s="41" t="s">
        <v>359</v>
      </c>
      <c r="BG16" s="42">
        <v>0</v>
      </c>
      <c r="BH16" s="41" t="s">
        <v>359</v>
      </c>
      <c r="BI16" s="42">
        <v>0</v>
      </c>
      <c r="BJ16" s="41" t="s">
        <v>359</v>
      </c>
      <c r="BK16" s="42">
        <v>0</v>
      </c>
      <c r="BL16" s="41" t="s">
        <v>359</v>
      </c>
      <c r="BM16" s="42">
        <v>0</v>
      </c>
      <c r="BN16" s="41" t="s">
        <v>359</v>
      </c>
      <c r="BO16" s="42">
        <v>0</v>
      </c>
      <c r="BP16" s="41" t="s">
        <v>359</v>
      </c>
      <c r="BQ16" s="42">
        <v>0</v>
      </c>
      <c r="BR16" s="41" t="s">
        <v>359</v>
      </c>
      <c r="BS16" s="42">
        <v>0</v>
      </c>
      <c r="BT16" s="36" t="s">
        <v>360</v>
      </c>
      <c r="BU16" s="36" t="s">
        <v>359</v>
      </c>
      <c r="BV16" s="35"/>
      <c r="BW16" s="35" t="s">
        <v>361</v>
      </c>
      <c r="BX16" s="35" t="s">
        <v>359</v>
      </c>
      <c r="BY16" s="35" t="s">
        <v>359</v>
      </c>
      <c r="BZ16" s="35" t="s">
        <v>359</v>
      </c>
      <c r="CA16" s="35" t="s">
        <v>359</v>
      </c>
      <c r="CB16" s="35" t="s">
        <v>359</v>
      </c>
      <c r="CC16" s="35" t="s">
        <v>359</v>
      </c>
      <c r="CD16" s="35" t="s">
        <v>359</v>
      </c>
      <c r="CE16" s="35" t="s">
        <v>359</v>
      </c>
      <c r="CF16" s="35" t="s">
        <v>359</v>
      </c>
      <c r="CG16" s="35" t="s">
        <v>359</v>
      </c>
      <c r="CI16" s="47">
        <v>4.242999999999999</v>
      </c>
      <c r="CJ16" s="47">
        <v>4.295999999999999</v>
      </c>
      <c r="CK16" s="47">
        <v>2.8619999999999988</v>
      </c>
      <c r="CL16" s="36" t="s">
        <v>15</v>
      </c>
      <c r="CM16" s="36">
        <v>14</v>
      </c>
      <c r="CN16" s="36">
        <v>12</v>
      </c>
      <c r="CO16" s="36">
        <v>1</v>
      </c>
      <c r="CP16" s="36" t="s">
        <v>15</v>
      </c>
      <c r="CQ16" s="49">
        <v>2.8619999999999988</v>
      </c>
      <c r="CR16" s="36" t="s">
        <v>17</v>
      </c>
      <c r="CS16" s="36" t="s">
        <v>17</v>
      </c>
      <c r="CU16" s="47">
        <v>9.99</v>
      </c>
      <c r="CV16" s="47">
        <v>9.99</v>
      </c>
      <c r="CW16" s="47">
        <v>9.99</v>
      </c>
      <c r="CX16" s="36" t="s">
        <v>15</v>
      </c>
      <c r="CY16" s="36">
        <v>1</v>
      </c>
      <c r="CZ16" s="36">
        <v>1</v>
      </c>
      <c r="DA16" s="36">
        <v>1</v>
      </c>
      <c r="DB16" s="36" t="s">
        <v>15</v>
      </c>
      <c r="DC16" s="48">
        <v>9.99</v>
      </c>
      <c r="DD16" s="36" t="s">
        <v>15</v>
      </c>
      <c r="DE16" s="36" t="s">
        <v>17</v>
      </c>
      <c r="DF16" s="35" t="s">
        <v>362</v>
      </c>
      <c r="DG16" s="35" t="s">
        <v>363</v>
      </c>
      <c r="DH16" s="35" t="s">
        <v>136</v>
      </c>
      <c r="DI16" s="35" t="s">
        <v>108</v>
      </c>
      <c r="DJ16" s="40">
        <v>1569480</v>
      </c>
      <c r="DK16" s="35" t="s">
        <v>363</v>
      </c>
      <c r="DL16" s="35" t="s">
        <v>124</v>
      </c>
      <c r="DM16" s="35" t="s">
        <v>363</v>
      </c>
      <c r="DO16" s="47">
        <v>9.790000000000001</v>
      </c>
      <c r="DP16" s="47">
        <v>9.790000000000001</v>
      </c>
      <c r="DQ16" s="47">
        <v>9.790000000000001</v>
      </c>
      <c r="DR16" s="36" t="s">
        <v>15</v>
      </c>
      <c r="DS16" s="36">
        <v>2</v>
      </c>
      <c r="DT16" s="36">
        <v>2</v>
      </c>
      <c r="DU16" s="36">
        <v>2</v>
      </c>
      <c r="DV16" s="36" t="s">
        <v>15</v>
      </c>
      <c r="DW16" s="48">
        <v>9.790000000000001</v>
      </c>
      <c r="DX16" s="36" t="s">
        <v>15</v>
      </c>
      <c r="DY16" s="36" t="s">
        <v>17</v>
      </c>
      <c r="DZ16" s="35" t="s">
        <v>362</v>
      </c>
      <c r="EA16" s="35" t="s">
        <v>363</v>
      </c>
      <c r="EB16" s="35" t="s">
        <v>363</v>
      </c>
      <c r="EC16" s="35" t="s">
        <v>118</v>
      </c>
      <c r="ED16" s="40">
        <v>0</v>
      </c>
      <c r="EE16" s="35" t="s">
        <v>363</v>
      </c>
      <c r="EF16" s="35" t="s">
        <v>117</v>
      </c>
      <c r="EG16" s="35" t="s">
        <v>363</v>
      </c>
      <c r="EI16" s="47">
        <v>9.59</v>
      </c>
      <c r="EJ16" s="47">
        <v>9.59</v>
      </c>
      <c r="EK16" s="47">
        <v>9.59</v>
      </c>
      <c r="EL16" s="36" t="s">
        <v>15</v>
      </c>
      <c r="EM16" s="36">
        <v>3</v>
      </c>
      <c r="EN16" s="36">
        <v>3</v>
      </c>
      <c r="EO16" s="36">
        <v>3</v>
      </c>
      <c r="EP16" s="36" t="s">
        <v>15</v>
      </c>
      <c r="EQ16" s="48">
        <v>9.59</v>
      </c>
      <c r="ER16" s="36" t="s">
        <v>15</v>
      </c>
      <c r="ES16" s="36" t="s">
        <v>17</v>
      </c>
      <c r="ET16" s="35" t="s">
        <v>362</v>
      </c>
      <c r="EU16" s="35" t="s">
        <v>363</v>
      </c>
      <c r="EV16" s="35" t="s">
        <v>363</v>
      </c>
      <c r="EW16" s="35" t="s">
        <v>118</v>
      </c>
      <c r="EX16" s="40">
        <v>0</v>
      </c>
      <c r="EY16" s="35" t="s">
        <v>363</v>
      </c>
      <c r="EZ16" s="35" t="s">
        <v>117</v>
      </c>
      <c r="FA16" s="35" t="s">
        <v>363</v>
      </c>
      <c r="FC16" s="47">
        <v>9.39</v>
      </c>
      <c r="FD16" s="47">
        <v>9.39</v>
      </c>
      <c r="FE16" s="47">
        <v>9.39</v>
      </c>
      <c r="FF16" s="36" t="s">
        <v>15</v>
      </c>
      <c r="FG16" s="36">
        <v>4</v>
      </c>
      <c r="FH16" s="36">
        <v>4</v>
      </c>
      <c r="FI16" s="36">
        <v>4</v>
      </c>
      <c r="FJ16" s="36" t="s">
        <v>15</v>
      </c>
      <c r="FK16" s="48">
        <v>9.39</v>
      </c>
      <c r="FL16" s="36" t="s">
        <v>15</v>
      </c>
      <c r="FM16" s="36" t="s">
        <v>17</v>
      </c>
      <c r="FN16" s="35" t="s">
        <v>362</v>
      </c>
      <c r="FO16" s="35" t="s">
        <v>363</v>
      </c>
      <c r="FP16" s="35" t="s">
        <v>363</v>
      </c>
      <c r="FQ16" s="35" t="s">
        <v>118</v>
      </c>
      <c r="FR16" s="40">
        <v>0</v>
      </c>
      <c r="FS16" s="35" t="s">
        <v>363</v>
      </c>
      <c r="FT16" s="35" t="s">
        <v>117</v>
      </c>
      <c r="FU16" s="35" t="s">
        <v>363</v>
      </c>
      <c r="FW16" s="47">
        <v>9.19</v>
      </c>
      <c r="FX16" s="47">
        <v>9.19</v>
      </c>
      <c r="FY16" s="47">
        <v>9.19</v>
      </c>
      <c r="FZ16" s="36" t="s">
        <v>15</v>
      </c>
      <c r="GA16" s="36">
        <v>5</v>
      </c>
      <c r="GB16" s="36">
        <v>5</v>
      </c>
      <c r="GC16" s="36">
        <v>5</v>
      </c>
      <c r="GD16" s="36" t="s">
        <v>15</v>
      </c>
      <c r="GE16" s="48">
        <v>9.19</v>
      </c>
      <c r="GF16" s="36" t="s">
        <v>15</v>
      </c>
      <c r="GG16" s="36" t="s">
        <v>17</v>
      </c>
      <c r="GH16" s="35" t="s">
        <v>362</v>
      </c>
      <c r="GI16" s="35" t="s">
        <v>363</v>
      </c>
      <c r="GJ16" s="35" t="s">
        <v>363</v>
      </c>
      <c r="GK16" s="35" t="s">
        <v>118</v>
      </c>
      <c r="GL16" s="40">
        <v>0</v>
      </c>
      <c r="GM16" s="35" t="s">
        <v>363</v>
      </c>
      <c r="GN16" s="35" t="s">
        <v>117</v>
      </c>
      <c r="GO16" s="35" t="s">
        <v>363</v>
      </c>
      <c r="GQ16" s="47">
        <v>8.99375</v>
      </c>
      <c r="GR16" s="47">
        <v>8.99685</v>
      </c>
      <c r="GS16" s="47">
        <v>8.99685</v>
      </c>
      <c r="GT16" s="36" t="s">
        <v>15</v>
      </c>
      <c r="GU16" s="36">
        <v>1</v>
      </c>
      <c r="GV16" s="36">
        <v>1</v>
      </c>
      <c r="GW16" s="36">
        <v>1</v>
      </c>
      <c r="GX16" s="36" t="s">
        <v>15</v>
      </c>
      <c r="GY16" s="48">
        <v>8.99375</v>
      </c>
      <c r="GZ16" s="36" t="s">
        <v>15</v>
      </c>
      <c r="HA16" s="36" t="s">
        <v>17</v>
      </c>
      <c r="HB16" s="35" t="s">
        <v>362</v>
      </c>
      <c r="HC16" s="35" t="s">
        <v>363</v>
      </c>
      <c r="HD16" s="35" t="s">
        <v>363</v>
      </c>
      <c r="HE16" s="35" t="s">
        <v>118</v>
      </c>
      <c r="HF16" s="40">
        <v>0</v>
      </c>
      <c r="HG16" s="35" t="s">
        <v>363</v>
      </c>
      <c r="HH16" s="35" t="s">
        <v>117</v>
      </c>
      <c r="HI16" s="35" t="s">
        <v>363</v>
      </c>
      <c r="HK16" s="47">
        <v>8.86875</v>
      </c>
      <c r="HL16" s="47">
        <v>8.93385</v>
      </c>
      <c r="HM16" s="47">
        <v>8.93385</v>
      </c>
      <c r="HN16" s="36" t="s">
        <v>15</v>
      </c>
      <c r="HO16" s="36">
        <v>2</v>
      </c>
      <c r="HP16" s="36">
        <v>2</v>
      </c>
      <c r="HQ16" s="36">
        <v>2</v>
      </c>
      <c r="HR16" s="36" t="s">
        <v>15</v>
      </c>
      <c r="HS16" s="48">
        <v>8.86875</v>
      </c>
      <c r="HT16" s="36" t="s">
        <v>15</v>
      </c>
      <c r="HU16" s="36" t="s">
        <v>17</v>
      </c>
      <c r="HV16" s="35" t="s">
        <v>362</v>
      </c>
      <c r="HW16" s="35" t="s">
        <v>363</v>
      </c>
      <c r="HX16" s="35" t="s">
        <v>363</v>
      </c>
      <c r="HY16" s="35" t="s">
        <v>118</v>
      </c>
      <c r="HZ16" s="40">
        <v>0</v>
      </c>
      <c r="IA16" s="35" t="s">
        <v>363</v>
      </c>
      <c r="IB16" s="35" t="s">
        <v>117</v>
      </c>
      <c r="IC16" s="35" t="s">
        <v>363</v>
      </c>
      <c r="IE16" s="47">
        <v>8.74375</v>
      </c>
      <c r="IF16" s="47">
        <v>8.87085</v>
      </c>
      <c r="IG16" s="47">
        <v>8.87085</v>
      </c>
      <c r="IH16" s="36" t="s">
        <v>15</v>
      </c>
      <c r="II16" s="36">
        <v>3</v>
      </c>
      <c r="IJ16" s="36">
        <v>3</v>
      </c>
      <c r="IK16" s="36">
        <v>3</v>
      </c>
      <c r="IL16" s="36" t="s">
        <v>15</v>
      </c>
      <c r="IM16" s="48">
        <v>8.74375</v>
      </c>
      <c r="IN16" s="36" t="s">
        <v>15</v>
      </c>
      <c r="IO16" s="36" t="s">
        <v>17</v>
      </c>
      <c r="IP16" s="35" t="s">
        <v>362</v>
      </c>
      <c r="IQ16" s="35" t="s">
        <v>363</v>
      </c>
      <c r="IR16" s="35" t="s">
        <v>363</v>
      </c>
      <c r="IS16" s="35" t="s">
        <v>118</v>
      </c>
      <c r="IT16" s="40">
        <v>0</v>
      </c>
      <c r="IU16" s="35" t="s">
        <v>363</v>
      </c>
      <c r="IV16" s="35" t="s">
        <v>117</v>
      </c>
      <c r="IW16" s="35" t="s">
        <v>363</v>
      </c>
      <c r="IY16" s="47">
        <v>8.61875</v>
      </c>
      <c r="IZ16" s="47">
        <v>8.80785</v>
      </c>
      <c r="JA16" s="47">
        <v>8.80785</v>
      </c>
      <c r="JB16" s="36" t="s">
        <v>15</v>
      </c>
      <c r="JC16" s="36">
        <v>4</v>
      </c>
      <c r="JD16" s="36">
        <v>4</v>
      </c>
      <c r="JE16" s="36">
        <v>4</v>
      </c>
      <c r="JF16" s="36" t="s">
        <v>15</v>
      </c>
      <c r="JG16" s="48">
        <v>8.61875</v>
      </c>
      <c r="JH16" s="36" t="s">
        <v>15</v>
      </c>
      <c r="JI16" s="36" t="s">
        <v>17</v>
      </c>
      <c r="JJ16" s="35" t="s">
        <v>362</v>
      </c>
      <c r="JK16" s="35" t="s">
        <v>363</v>
      </c>
      <c r="JL16" s="35" t="s">
        <v>363</v>
      </c>
      <c r="JM16" s="35" t="s">
        <v>118</v>
      </c>
      <c r="JN16" s="40">
        <v>0</v>
      </c>
      <c r="JO16" s="35" t="s">
        <v>363</v>
      </c>
      <c r="JP16" s="35" t="s">
        <v>117</v>
      </c>
      <c r="JQ16" s="35" t="s">
        <v>363</v>
      </c>
      <c r="JS16" s="47">
        <v>8.49375</v>
      </c>
      <c r="JT16" s="47">
        <v>8.74485</v>
      </c>
      <c r="JU16" s="47">
        <v>8.74485</v>
      </c>
      <c r="JV16" s="36" t="s">
        <v>15</v>
      </c>
      <c r="JW16" s="36">
        <v>5</v>
      </c>
      <c r="JX16" s="36">
        <v>5</v>
      </c>
      <c r="JY16" s="36">
        <v>5</v>
      </c>
      <c r="JZ16" s="36" t="s">
        <v>15</v>
      </c>
      <c r="KA16" s="48">
        <v>8.49375</v>
      </c>
      <c r="KB16" s="36" t="s">
        <v>15</v>
      </c>
      <c r="KC16" s="36" t="s">
        <v>17</v>
      </c>
      <c r="KD16" s="35" t="s">
        <v>362</v>
      </c>
      <c r="KE16" s="35" t="s">
        <v>363</v>
      </c>
      <c r="KF16" s="35" t="s">
        <v>363</v>
      </c>
      <c r="KG16" s="35" t="s">
        <v>118</v>
      </c>
      <c r="KH16" s="40">
        <v>0</v>
      </c>
      <c r="KI16" s="35" t="s">
        <v>363</v>
      </c>
      <c r="KJ16" s="35" t="s">
        <v>117</v>
      </c>
      <c r="KK16" s="35" t="s">
        <v>363</v>
      </c>
      <c r="KM16" s="47">
        <v>8.36875</v>
      </c>
      <c r="KN16" s="47">
        <v>8.68185</v>
      </c>
      <c r="KO16" s="47">
        <v>8.68185</v>
      </c>
      <c r="KP16" s="36" t="s">
        <v>15</v>
      </c>
      <c r="KQ16" s="36">
        <v>6</v>
      </c>
      <c r="KR16" s="36">
        <v>6</v>
      </c>
      <c r="KS16" s="36">
        <v>6</v>
      </c>
      <c r="KT16" s="36" t="s">
        <v>15</v>
      </c>
      <c r="KU16" s="48">
        <v>8.36875</v>
      </c>
      <c r="KV16" s="36" t="s">
        <v>15</v>
      </c>
      <c r="KW16" s="36" t="s">
        <v>17</v>
      </c>
      <c r="KX16" s="35" t="s">
        <v>362</v>
      </c>
      <c r="KY16" s="35" t="s">
        <v>363</v>
      </c>
      <c r="KZ16" s="35" t="s">
        <v>363</v>
      </c>
      <c r="LA16" s="35" t="s">
        <v>118</v>
      </c>
      <c r="LB16" s="40">
        <v>0</v>
      </c>
      <c r="LC16" s="35" t="s">
        <v>363</v>
      </c>
      <c r="LD16" s="35" t="s">
        <v>117</v>
      </c>
      <c r="LE16" s="35" t="s">
        <v>363</v>
      </c>
    </row>
    <row r="17">
      <c r="A17" s="0" t="s">
        <v>341</v>
      </c>
      <c r="B17" s="6" t="s">
        <v>342</v>
      </c>
      <c r="C17" s="0" t="s">
        <v>413</v>
      </c>
      <c r="D17" s="6">
        <v>30040</v>
      </c>
      <c r="E17" s="6" t="s">
        <v>344</v>
      </c>
      <c r="F17" s="0" t="s">
        <v>345</v>
      </c>
      <c r="G17" s="0" t="s">
        <v>40</v>
      </c>
      <c r="H17" s="6" t="s">
        <v>346</v>
      </c>
      <c r="I17" s="0" t="s">
        <v>347</v>
      </c>
      <c r="K17" s="0" t="s">
        <v>414</v>
      </c>
      <c r="L17" s="0" t="s">
        <v>415</v>
      </c>
      <c r="M17" s="0" t="s">
        <v>416</v>
      </c>
      <c r="N17" s="0" t="s">
        <v>351</v>
      </c>
      <c r="O17" s="33">
        <v>27</v>
      </c>
      <c r="P17" s="33">
        <v>656.1</v>
      </c>
      <c r="Q17" s="6" t="s">
        <v>15</v>
      </c>
      <c r="R17" s="0" t="s">
        <v>352</v>
      </c>
      <c r="S17" s="6" t="s">
        <v>368</v>
      </c>
      <c r="T17" s="0" t="s">
        <v>369</v>
      </c>
      <c r="U17" s="6" t="s">
        <v>15</v>
      </c>
      <c r="V17" s="6" t="s">
        <v>15</v>
      </c>
      <c r="W17" s="0" t="s">
        <v>62</v>
      </c>
      <c r="X17" s="6" t="s">
        <v>15</v>
      </c>
      <c r="Y17" s="6" t="s">
        <v>17</v>
      </c>
      <c r="Z17" s="34" t="s">
        <v>39</v>
      </c>
      <c r="AA17" s="6" t="s">
        <v>15</v>
      </c>
      <c r="AB17" s="0" t="s">
        <v>354</v>
      </c>
      <c r="AC17" s="6">
        <v>6</v>
      </c>
      <c r="AD17" s="6" t="s">
        <v>15</v>
      </c>
      <c r="AE17" s="6" t="s">
        <v>15</v>
      </c>
      <c r="AF17" s="6">
        <v>1956</v>
      </c>
      <c r="AG17" s="6">
        <v>71</v>
      </c>
      <c r="AH17" s="33">
        <v>50</v>
      </c>
      <c r="AI17" s="33">
        <v>362</v>
      </c>
      <c r="AJ17" s="33">
        <v>99</v>
      </c>
      <c r="AK17" s="6" t="s">
        <v>355</v>
      </c>
      <c r="AL17" s="33">
        <v>40</v>
      </c>
      <c r="AM17" s="0" t="s">
        <v>15</v>
      </c>
      <c r="AN17" s="0" t="s">
        <v>342</v>
      </c>
      <c r="AO17" s="6" t="s">
        <v>356</v>
      </c>
      <c r="AP17" s="6" t="s">
        <v>15</v>
      </c>
      <c r="AQ17" s="0" t="s">
        <v>357</v>
      </c>
      <c r="AR17" s="6" t="s">
        <v>15</v>
      </c>
      <c r="AS17" s="6" t="s">
        <v>15</v>
      </c>
      <c r="AT17" s="6" t="s">
        <v>17</v>
      </c>
      <c r="AU17" s="6" t="s">
        <v>15</v>
      </c>
      <c r="AV17" s="6" t="s">
        <v>17</v>
      </c>
      <c r="AW17" s="6" t="s">
        <v>15</v>
      </c>
      <c r="AX17" s="43" t="s">
        <v>358</v>
      </c>
      <c r="AY17" s="44">
        <v>1115370</v>
      </c>
      <c r="AZ17" s="43" t="s">
        <v>359</v>
      </c>
      <c r="BA17" s="44">
        <v>0</v>
      </c>
      <c r="BB17" s="43" t="s">
        <v>359</v>
      </c>
      <c r="BC17" s="44">
        <v>0</v>
      </c>
      <c r="BD17" s="43" t="s">
        <v>359</v>
      </c>
      <c r="BE17" s="44">
        <v>0</v>
      </c>
      <c r="BF17" s="43" t="s">
        <v>359</v>
      </c>
      <c r="BG17" s="44">
        <v>0</v>
      </c>
      <c r="BH17" s="43" t="s">
        <v>359</v>
      </c>
      <c r="BI17" s="44">
        <v>0</v>
      </c>
      <c r="BJ17" s="43" t="s">
        <v>359</v>
      </c>
      <c r="BK17" s="44">
        <v>0</v>
      </c>
      <c r="BL17" s="43" t="s">
        <v>359</v>
      </c>
      <c r="BM17" s="44">
        <v>0</v>
      </c>
      <c r="BN17" s="43" t="s">
        <v>359</v>
      </c>
      <c r="BO17" s="44">
        <v>0</v>
      </c>
      <c r="BP17" s="43" t="s">
        <v>359</v>
      </c>
      <c r="BQ17" s="44">
        <v>0</v>
      </c>
      <c r="BR17" s="43" t="s">
        <v>359</v>
      </c>
      <c r="BS17" s="44">
        <v>0</v>
      </c>
      <c r="BT17" s="6" t="s">
        <v>360</v>
      </c>
      <c r="BU17" s="6" t="s">
        <v>359</v>
      </c>
      <c r="BW17" s="0" t="s">
        <v>361</v>
      </c>
      <c r="BX17" s="0" t="s">
        <v>359</v>
      </c>
      <c r="BY17" s="0" t="s">
        <v>359</v>
      </c>
      <c r="BZ17" s="0" t="s">
        <v>359</v>
      </c>
      <c r="CA17" s="0" t="s">
        <v>359</v>
      </c>
      <c r="CB17" s="0" t="s">
        <v>359</v>
      </c>
      <c r="CC17" s="0" t="s">
        <v>359</v>
      </c>
      <c r="CD17" s="0" t="s">
        <v>359</v>
      </c>
      <c r="CE17" s="0" t="s">
        <v>359</v>
      </c>
      <c r="CF17" s="0" t="s">
        <v>359</v>
      </c>
      <c r="CG17" s="0" t="s">
        <v>359</v>
      </c>
      <c r="CI17" s="46">
        <v>4.31</v>
      </c>
      <c r="CJ17" s="46">
        <v>4.303999999999999</v>
      </c>
      <c r="CK17" s="46">
        <v>3.301999999999999</v>
      </c>
      <c r="CL17" s="6" t="s">
        <v>15</v>
      </c>
      <c r="CM17" s="6">
        <v>12</v>
      </c>
      <c r="CN17" s="6">
        <v>12</v>
      </c>
      <c r="CO17" s="6">
        <v>6</v>
      </c>
      <c r="CP17" s="6" t="s">
        <v>15</v>
      </c>
      <c r="CQ17" s="49">
        <v>3.301999999999999</v>
      </c>
      <c r="CR17" s="6" t="s">
        <v>17</v>
      </c>
      <c r="CS17" s="6" t="s">
        <v>17</v>
      </c>
      <c r="CU17" s="46">
        <v>9.99</v>
      </c>
      <c r="CV17" s="46">
        <v>9.99</v>
      </c>
      <c r="CW17" s="46">
        <v>9.99</v>
      </c>
      <c r="CX17" s="6" t="s">
        <v>15</v>
      </c>
      <c r="CY17" s="6">
        <v>1</v>
      </c>
      <c r="CZ17" s="6">
        <v>1</v>
      </c>
      <c r="DA17" s="6">
        <v>1</v>
      </c>
      <c r="DB17" s="6" t="s">
        <v>15</v>
      </c>
      <c r="DC17" s="45">
        <v>9.99</v>
      </c>
      <c r="DD17" s="6" t="s">
        <v>15</v>
      </c>
      <c r="DE17" s="6" t="s">
        <v>17</v>
      </c>
      <c r="DF17" s="0" t="s">
        <v>362</v>
      </c>
      <c r="DG17" s="0" t="s">
        <v>363</v>
      </c>
      <c r="DH17" s="0" t="s">
        <v>136</v>
      </c>
      <c r="DI17" s="0" t="s">
        <v>110</v>
      </c>
      <c r="DJ17" s="39">
        <v>1115370</v>
      </c>
      <c r="DK17" s="0" t="s">
        <v>363</v>
      </c>
      <c r="DL17" s="0" t="s">
        <v>124</v>
      </c>
      <c r="DM17" s="0" t="s">
        <v>363</v>
      </c>
      <c r="DO17" s="46">
        <v>9.790000000000001</v>
      </c>
      <c r="DP17" s="46">
        <v>9.790000000000001</v>
      </c>
      <c r="DQ17" s="46">
        <v>9.790000000000001</v>
      </c>
      <c r="DR17" s="6" t="s">
        <v>15</v>
      </c>
      <c r="DS17" s="6">
        <v>2</v>
      </c>
      <c r="DT17" s="6">
        <v>2</v>
      </c>
      <c r="DU17" s="6">
        <v>2</v>
      </c>
      <c r="DV17" s="6" t="s">
        <v>15</v>
      </c>
      <c r="DW17" s="45">
        <v>9.790000000000001</v>
      </c>
      <c r="DX17" s="6" t="s">
        <v>15</v>
      </c>
      <c r="DY17" s="6" t="s">
        <v>17</v>
      </c>
      <c r="DZ17" s="0" t="s">
        <v>362</v>
      </c>
      <c r="EA17" s="0" t="s">
        <v>363</v>
      </c>
      <c r="EB17" s="0" t="s">
        <v>363</v>
      </c>
      <c r="EC17" s="0" t="s">
        <v>118</v>
      </c>
      <c r="ED17" s="39">
        <v>0</v>
      </c>
      <c r="EE17" s="0" t="s">
        <v>363</v>
      </c>
      <c r="EF17" s="0" t="s">
        <v>117</v>
      </c>
      <c r="EG17" s="0" t="s">
        <v>363</v>
      </c>
      <c r="EI17" s="46">
        <v>9.59</v>
      </c>
      <c r="EJ17" s="46">
        <v>9.59</v>
      </c>
      <c r="EK17" s="46">
        <v>9.59</v>
      </c>
      <c r="EL17" s="6" t="s">
        <v>15</v>
      </c>
      <c r="EM17" s="6">
        <v>3</v>
      </c>
      <c r="EN17" s="6">
        <v>3</v>
      </c>
      <c r="EO17" s="6">
        <v>3</v>
      </c>
      <c r="EP17" s="6" t="s">
        <v>15</v>
      </c>
      <c r="EQ17" s="45">
        <v>9.59</v>
      </c>
      <c r="ER17" s="6" t="s">
        <v>15</v>
      </c>
      <c r="ES17" s="6" t="s">
        <v>17</v>
      </c>
      <c r="ET17" s="0" t="s">
        <v>362</v>
      </c>
      <c r="EU17" s="0" t="s">
        <v>363</v>
      </c>
      <c r="EV17" s="0" t="s">
        <v>363</v>
      </c>
      <c r="EW17" s="0" t="s">
        <v>118</v>
      </c>
      <c r="EX17" s="39">
        <v>0</v>
      </c>
      <c r="EY17" s="0" t="s">
        <v>363</v>
      </c>
      <c r="EZ17" s="0" t="s">
        <v>117</v>
      </c>
      <c r="FA17" s="0" t="s">
        <v>363</v>
      </c>
      <c r="FC17" s="46">
        <v>9.39</v>
      </c>
      <c r="FD17" s="46">
        <v>9.39</v>
      </c>
      <c r="FE17" s="46">
        <v>9.39</v>
      </c>
      <c r="FF17" s="6" t="s">
        <v>15</v>
      </c>
      <c r="FG17" s="6">
        <v>4</v>
      </c>
      <c r="FH17" s="6">
        <v>4</v>
      </c>
      <c r="FI17" s="6">
        <v>4</v>
      </c>
      <c r="FJ17" s="6" t="s">
        <v>15</v>
      </c>
      <c r="FK17" s="45">
        <v>9.39</v>
      </c>
      <c r="FL17" s="6" t="s">
        <v>15</v>
      </c>
      <c r="FM17" s="6" t="s">
        <v>17</v>
      </c>
      <c r="FN17" s="0" t="s">
        <v>362</v>
      </c>
      <c r="FO17" s="0" t="s">
        <v>363</v>
      </c>
      <c r="FP17" s="0" t="s">
        <v>363</v>
      </c>
      <c r="FQ17" s="0" t="s">
        <v>118</v>
      </c>
      <c r="FR17" s="39">
        <v>0</v>
      </c>
      <c r="FS17" s="0" t="s">
        <v>363</v>
      </c>
      <c r="FT17" s="0" t="s">
        <v>117</v>
      </c>
      <c r="FU17" s="0" t="s">
        <v>363</v>
      </c>
      <c r="FW17" s="46">
        <v>9.19</v>
      </c>
      <c r="FX17" s="46">
        <v>9.19</v>
      </c>
      <c r="FY17" s="46">
        <v>9.19</v>
      </c>
      <c r="FZ17" s="6" t="s">
        <v>15</v>
      </c>
      <c r="GA17" s="6">
        <v>5</v>
      </c>
      <c r="GB17" s="6">
        <v>5</v>
      </c>
      <c r="GC17" s="6">
        <v>5</v>
      </c>
      <c r="GD17" s="6" t="s">
        <v>15</v>
      </c>
      <c r="GE17" s="45">
        <v>9.19</v>
      </c>
      <c r="GF17" s="6" t="s">
        <v>15</v>
      </c>
      <c r="GG17" s="6" t="s">
        <v>17</v>
      </c>
      <c r="GH17" s="0" t="s">
        <v>362</v>
      </c>
      <c r="GI17" s="0" t="s">
        <v>363</v>
      </c>
      <c r="GJ17" s="0" t="s">
        <v>363</v>
      </c>
      <c r="GK17" s="0" t="s">
        <v>118</v>
      </c>
      <c r="GL17" s="39">
        <v>0</v>
      </c>
      <c r="GM17" s="0" t="s">
        <v>363</v>
      </c>
      <c r="GN17" s="0" t="s">
        <v>117</v>
      </c>
      <c r="GO17" s="0" t="s">
        <v>363</v>
      </c>
      <c r="GQ17" s="46">
        <v>8.99375</v>
      </c>
      <c r="GR17" s="46">
        <v>8.99685</v>
      </c>
      <c r="GS17" s="46">
        <v>8.99685</v>
      </c>
      <c r="GT17" s="6" t="s">
        <v>15</v>
      </c>
      <c r="GU17" s="6">
        <v>1</v>
      </c>
      <c r="GV17" s="6">
        <v>1</v>
      </c>
      <c r="GW17" s="6">
        <v>1</v>
      </c>
      <c r="GX17" s="6" t="s">
        <v>15</v>
      </c>
      <c r="GY17" s="45">
        <v>8.99375</v>
      </c>
      <c r="GZ17" s="6" t="s">
        <v>15</v>
      </c>
      <c r="HA17" s="6" t="s">
        <v>17</v>
      </c>
      <c r="HB17" s="0" t="s">
        <v>362</v>
      </c>
      <c r="HC17" s="0" t="s">
        <v>363</v>
      </c>
      <c r="HD17" s="0" t="s">
        <v>363</v>
      </c>
      <c r="HE17" s="0" t="s">
        <v>118</v>
      </c>
      <c r="HF17" s="39">
        <v>0</v>
      </c>
      <c r="HG17" s="0" t="s">
        <v>363</v>
      </c>
      <c r="HH17" s="0" t="s">
        <v>117</v>
      </c>
      <c r="HI17" s="0" t="s">
        <v>363</v>
      </c>
      <c r="HK17" s="46">
        <v>8.86875</v>
      </c>
      <c r="HL17" s="46">
        <v>8.93385</v>
      </c>
      <c r="HM17" s="46">
        <v>8.93385</v>
      </c>
      <c r="HN17" s="6" t="s">
        <v>15</v>
      </c>
      <c r="HO17" s="6">
        <v>2</v>
      </c>
      <c r="HP17" s="6">
        <v>2</v>
      </c>
      <c r="HQ17" s="6">
        <v>2</v>
      </c>
      <c r="HR17" s="6" t="s">
        <v>15</v>
      </c>
      <c r="HS17" s="45">
        <v>8.86875</v>
      </c>
      <c r="HT17" s="6" t="s">
        <v>15</v>
      </c>
      <c r="HU17" s="6" t="s">
        <v>17</v>
      </c>
      <c r="HV17" s="0" t="s">
        <v>362</v>
      </c>
      <c r="HW17" s="0" t="s">
        <v>363</v>
      </c>
      <c r="HX17" s="0" t="s">
        <v>363</v>
      </c>
      <c r="HY17" s="0" t="s">
        <v>118</v>
      </c>
      <c r="HZ17" s="39">
        <v>0</v>
      </c>
      <c r="IA17" s="0" t="s">
        <v>363</v>
      </c>
      <c r="IB17" s="0" t="s">
        <v>117</v>
      </c>
      <c r="IC17" s="0" t="s">
        <v>363</v>
      </c>
      <c r="IE17" s="46">
        <v>8.74375</v>
      </c>
      <c r="IF17" s="46">
        <v>8.87085</v>
      </c>
      <c r="IG17" s="46">
        <v>8.87085</v>
      </c>
      <c r="IH17" s="6" t="s">
        <v>15</v>
      </c>
      <c r="II17" s="6">
        <v>3</v>
      </c>
      <c r="IJ17" s="6">
        <v>3</v>
      </c>
      <c r="IK17" s="6">
        <v>3</v>
      </c>
      <c r="IL17" s="6" t="s">
        <v>15</v>
      </c>
      <c r="IM17" s="45">
        <v>8.74375</v>
      </c>
      <c r="IN17" s="6" t="s">
        <v>15</v>
      </c>
      <c r="IO17" s="6" t="s">
        <v>17</v>
      </c>
      <c r="IP17" s="0" t="s">
        <v>362</v>
      </c>
      <c r="IQ17" s="0" t="s">
        <v>363</v>
      </c>
      <c r="IR17" s="0" t="s">
        <v>363</v>
      </c>
      <c r="IS17" s="0" t="s">
        <v>118</v>
      </c>
      <c r="IT17" s="39">
        <v>0</v>
      </c>
      <c r="IU17" s="0" t="s">
        <v>363</v>
      </c>
      <c r="IV17" s="0" t="s">
        <v>117</v>
      </c>
      <c r="IW17" s="0" t="s">
        <v>363</v>
      </c>
      <c r="IY17" s="46">
        <v>8.61875</v>
      </c>
      <c r="IZ17" s="46">
        <v>8.80785</v>
      </c>
      <c r="JA17" s="46">
        <v>8.80785</v>
      </c>
      <c r="JB17" s="6" t="s">
        <v>15</v>
      </c>
      <c r="JC17" s="6">
        <v>4</v>
      </c>
      <c r="JD17" s="6">
        <v>4</v>
      </c>
      <c r="JE17" s="6">
        <v>4</v>
      </c>
      <c r="JF17" s="6" t="s">
        <v>15</v>
      </c>
      <c r="JG17" s="45">
        <v>8.61875</v>
      </c>
      <c r="JH17" s="6" t="s">
        <v>15</v>
      </c>
      <c r="JI17" s="6" t="s">
        <v>17</v>
      </c>
      <c r="JJ17" s="0" t="s">
        <v>362</v>
      </c>
      <c r="JK17" s="0" t="s">
        <v>363</v>
      </c>
      <c r="JL17" s="0" t="s">
        <v>363</v>
      </c>
      <c r="JM17" s="0" t="s">
        <v>118</v>
      </c>
      <c r="JN17" s="39">
        <v>0</v>
      </c>
      <c r="JO17" s="0" t="s">
        <v>363</v>
      </c>
      <c r="JP17" s="0" t="s">
        <v>117</v>
      </c>
      <c r="JQ17" s="0" t="s">
        <v>363</v>
      </c>
      <c r="JS17" s="46">
        <v>8.49375</v>
      </c>
      <c r="JT17" s="46">
        <v>8.74485</v>
      </c>
      <c r="JU17" s="46">
        <v>8.74485</v>
      </c>
      <c r="JV17" s="6" t="s">
        <v>15</v>
      </c>
      <c r="JW17" s="6">
        <v>5</v>
      </c>
      <c r="JX17" s="6">
        <v>5</v>
      </c>
      <c r="JY17" s="6">
        <v>5</v>
      </c>
      <c r="JZ17" s="6" t="s">
        <v>15</v>
      </c>
      <c r="KA17" s="45">
        <v>8.49375</v>
      </c>
      <c r="KB17" s="6" t="s">
        <v>15</v>
      </c>
      <c r="KC17" s="6" t="s">
        <v>17</v>
      </c>
      <c r="KD17" s="0" t="s">
        <v>362</v>
      </c>
      <c r="KE17" s="0" t="s">
        <v>363</v>
      </c>
      <c r="KF17" s="0" t="s">
        <v>363</v>
      </c>
      <c r="KG17" s="0" t="s">
        <v>118</v>
      </c>
      <c r="KH17" s="39">
        <v>0</v>
      </c>
      <c r="KI17" s="0" t="s">
        <v>363</v>
      </c>
      <c r="KJ17" s="0" t="s">
        <v>117</v>
      </c>
      <c r="KK17" s="0" t="s">
        <v>363</v>
      </c>
      <c r="KM17" s="46">
        <v>8.36875</v>
      </c>
      <c r="KN17" s="46">
        <v>8.68185</v>
      </c>
      <c r="KO17" s="46">
        <v>8.68185</v>
      </c>
      <c r="KP17" s="6" t="s">
        <v>15</v>
      </c>
      <c r="KQ17" s="6">
        <v>6</v>
      </c>
      <c r="KR17" s="6">
        <v>6</v>
      </c>
      <c r="KS17" s="6">
        <v>6</v>
      </c>
      <c r="KT17" s="6" t="s">
        <v>15</v>
      </c>
      <c r="KU17" s="45">
        <v>8.36875</v>
      </c>
      <c r="KV17" s="6" t="s">
        <v>15</v>
      </c>
      <c r="KW17" s="6" t="s">
        <v>17</v>
      </c>
      <c r="KX17" s="0" t="s">
        <v>362</v>
      </c>
      <c r="KY17" s="0" t="s">
        <v>363</v>
      </c>
      <c r="KZ17" s="0" t="s">
        <v>363</v>
      </c>
      <c r="LA17" s="0" t="s">
        <v>118</v>
      </c>
      <c r="LB17" s="39">
        <v>0</v>
      </c>
      <c r="LC17" s="0" t="s">
        <v>363</v>
      </c>
      <c r="LD17" s="0" t="s">
        <v>117</v>
      </c>
      <c r="LE17" s="0" t="s">
        <v>363</v>
      </c>
    </row>
    <row r="18">
      <c r="A18" s="35" t="s">
        <v>341</v>
      </c>
      <c r="B18" s="36" t="s">
        <v>342</v>
      </c>
      <c r="C18" s="35" t="s">
        <v>417</v>
      </c>
      <c r="D18" s="36">
        <v>30041</v>
      </c>
      <c r="E18" s="36" t="s">
        <v>344</v>
      </c>
      <c r="F18" s="35" t="s">
        <v>345</v>
      </c>
      <c r="G18" s="35" t="s">
        <v>45</v>
      </c>
      <c r="H18" s="36" t="s">
        <v>409</v>
      </c>
      <c r="I18" s="35" t="s">
        <v>347</v>
      </c>
      <c r="J18" s="35"/>
      <c r="K18" s="35" t="s">
        <v>418</v>
      </c>
      <c r="L18" s="35" t="s">
        <v>419</v>
      </c>
      <c r="M18" s="35" t="s">
        <v>420</v>
      </c>
      <c r="N18" s="35" t="s">
        <v>377</v>
      </c>
      <c r="O18" s="37">
        <v>33</v>
      </c>
      <c r="P18" s="37">
        <v>801.9</v>
      </c>
      <c r="Q18" s="36" t="s">
        <v>15</v>
      </c>
      <c r="R18" s="35" t="s">
        <v>352</v>
      </c>
      <c r="S18" s="36" t="s">
        <v>368</v>
      </c>
      <c r="T18" s="35" t="s">
        <v>369</v>
      </c>
      <c r="U18" s="36" t="s">
        <v>15</v>
      </c>
      <c r="V18" s="36" t="s">
        <v>15</v>
      </c>
      <c r="W18" s="35" t="s">
        <v>62</v>
      </c>
      <c r="X18" s="36" t="s">
        <v>15</v>
      </c>
      <c r="Y18" s="36" t="s">
        <v>17</v>
      </c>
      <c r="Z18" s="38" t="s">
        <v>39</v>
      </c>
      <c r="AA18" s="36" t="s">
        <v>15</v>
      </c>
      <c r="AB18" s="35" t="s">
        <v>354</v>
      </c>
      <c r="AC18" s="36">
        <v>4</v>
      </c>
      <c r="AD18" s="36" t="s">
        <v>15</v>
      </c>
      <c r="AE18" s="36" t="s">
        <v>15</v>
      </c>
      <c r="AF18" s="36">
        <v>1956</v>
      </c>
      <c r="AG18" s="36">
        <v>71</v>
      </c>
      <c r="AH18" s="37">
        <v>50</v>
      </c>
      <c r="AI18" s="37">
        <v>400</v>
      </c>
      <c r="AJ18" s="37">
        <v>99</v>
      </c>
      <c r="AK18" s="36" t="s">
        <v>355</v>
      </c>
      <c r="AL18" s="37">
        <v>33</v>
      </c>
      <c r="AM18" s="35" t="s">
        <v>15</v>
      </c>
      <c r="AN18" s="35" t="s">
        <v>342</v>
      </c>
      <c r="AO18" s="36" t="s">
        <v>356</v>
      </c>
      <c r="AP18" s="36" t="s">
        <v>15</v>
      </c>
      <c r="AQ18" s="35" t="s">
        <v>357</v>
      </c>
      <c r="AR18" s="36" t="s">
        <v>15</v>
      </c>
      <c r="AS18" s="36" t="s">
        <v>15</v>
      </c>
      <c r="AT18" s="36" t="s">
        <v>17</v>
      </c>
      <c r="AU18" s="36" t="s">
        <v>15</v>
      </c>
      <c r="AV18" s="36" t="s">
        <v>17</v>
      </c>
      <c r="AW18" s="36" t="s">
        <v>15</v>
      </c>
      <c r="AX18" s="41" t="s">
        <v>383</v>
      </c>
      <c r="AY18" s="42">
        <v>900000</v>
      </c>
      <c r="AZ18" s="41" t="s">
        <v>359</v>
      </c>
      <c r="BA18" s="42">
        <v>0</v>
      </c>
      <c r="BB18" s="41" t="s">
        <v>359</v>
      </c>
      <c r="BC18" s="42">
        <v>0</v>
      </c>
      <c r="BD18" s="41" t="s">
        <v>359</v>
      </c>
      <c r="BE18" s="42">
        <v>0</v>
      </c>
      <c r="BF18" s="41" t="s">
        <v>359</v>
      </c>
      <c r="BG18" s="42">
        <v>0</v>
      </c>
      <c r="BH18" s="41" t="s">
        <v>359</v>
      </c>
      <c r="BI18" s="42">
        <v>0</v>
      </c>
      <c r="BJ18" s="41" t="s">
        <v>359</v>
      </c>
      <c r="BK18" s="42">
        <v>0</v>
      </c>
      <c r="BL18" s="41" t="s">
        <v>359</v>
      </c>
      <c r="BM18" s="42">
        <v>0</v>
      </c>
      <c r="BN18" s="41" t="s">
        <v>359</v>
      </c>
      <c r="BO18" s="42">
        <v>0</v>
      </c>
      <c r="BP18" s="41" t="s">
        <v>359</v>
      </c>
      <c r="BQ18" s="42">
        <v>0</v>
      </c>
      <c r="BR18" s="41" t="s">
        <v>359</v>
      </c>
      <c r="BS18" s="42">
        <v>0</v>
      </c>
      <c r="BT18" s="36" t="s">
        <v>360</v>
      </c>
      <c r="BU18" s="36" t="s">
        <v>359</v>
      </c>
      <c r="BV18" s="35"/>
      <c r="BW18" s="35" t="s">
        <v>361</v>
      </c>
      <c r="BX18" s="35" t="s">
        <v>359</v>
      </c>
      <c r="BY18" s="35" t="s">
        <v>359</v>
      </c>
      <c r="BZ18" s="35" t="s">
        <v>359</v>
      </c>
      <c r="CA18" s="35" t="s">
        <v>359</v>
      </c>
      <c r="CB18" s="35" t="s">
        <v>359</v>
      </c>
      <c r="CC18" s="35" t="s">
        <v>359</v>
      </c>
      <c r="CD18" s="35" t="s">
        <v>359</v>
      </c>
      <c r="CE18" s="35" t="s">
        <v>359</v>
      </c>
      <c r="CF18" s="35" t="s">
        <v>359</v>
      </c>
      <c r="CG18" s="35" t="s">
        <v>359</v>
      </c>
      <c r="CI18" s="47">
        <v>3.55</v>
      </c>
      <c r="CJ18" s="47">
        <v>3.56</v>
      </c>
      <c r="CK18" s="47">
        <v>3.57</v>
      </c>
      <c r="CL18" s="36" t="s">
        <v>15</v>
      </c>
      <c r="CM18" s="36">
        <v>3</v>
      </c>
      <c r="CN18" s="36">
        <v>3</v>
      </c>
      <c r="CO18" s="36">
        <v>3</v>
      </c>
      <c r="CP18" s="36" t="s">
        <v>15</v>
      </c>
      <c r="CQ18" s="48">
        <v>3.55</v>
      </c>
      <c r="CR18" s="36" t="s">
        <v>17</v>
      </c>
      <c r="CS18" s="36" t="s">
        <v>17</v>
      </c>
      <c r="CU18" s="47">
        <v>9.99</v>
      </c>
      <c r="CV18" s="47">
        <v>9.99</v>
      </c>
      <c r="CW18" s="47">
        <v>9.99</v>
      </c>
      <c r="CX18" s="36" t="s">
        <v>15</v>
      </c>
      <c r="CY18" s="36">
        <v>1</v>
      </c>
      <c r="CZ18" s="36">
        <v>1</v>
      </c>
      <c r="DA18" s="36">
        <v>1</v>
      </c>
      <c r="DB18" s="36" t="s">
        <v>15</v>
      </c>
      <c r="DC18" s="48">
        <v>9.99</v>
      </c>
      <c r="DD18" s="36" t="s">
        <v>15</v>
      </c>
      <c r="DE18" s="36" t="s">
        <v>17</v>
      </c>
      <c r="DF18" s="35" t="s">
        <v>362</v>
      </c>
      <c r="DG18" s="35" t="s">
        <v>363</v>
      </c>
      <c r="DH18" s="35" t="s">
        <v>136</v>
      </c>
      <c r="DI18" s="35" t="s">
        <v>108</v>
      </c>
      <c r="DJ18" s="40">
        <v>900000</v>
      </c>
      <c r="DK18" s="35" t="s">
        <v>363</v>
      </c>
      <c r="DL18" s="35" t="s">
        <v>124</v>
      </c>
      <c r="DM18" s="35" t="s">
        <v>363</v>
      </c>
      <c r="DO18" s="47">
        <v>9.790000000000001</v>
      </c>
      <c r="DP18" s="47">
        <v>9.790000000000001</v>
      </c>
      <c r="DQ18" s="47">
        <v>9.790000000000001</v>
      </c>
      <c r="DR18" s="36" t="s">
        <v>15</v>
      </c>
      <c r="DS18" s="36">
        <v>2</v>
      </c>
      <c r="DT18" s="36">
        <v>2</v>
      </c>
      <c r="DU18" s="36">
        <v>2</v>
      </c>
      <c r="DV18" s="36" t="s">
        <v>15</v>
      </c>
      <c r="DW18" s="48">
        <v>9.790000000000001</v>
      </c>
      <c r="DX18" s="36" t="s">
        <v>15</v>
      </c>
      <c r="DY18" s="36" t="s">
        <v>17</v>
      </c>
      <c r="DZ18" s="35" t="s">
        <v>362</v>
      </c>
      <c r="EA18" s="35" t="s">
        <v>363</v>
      </c>
      <c r="EB18" s="35" t="s">
        <v>363</v>
      </c>
      <c r="EC18" s="35" t="s">
        <v>118</v>
      </c>
      <c r="ED18" s="40">
        <v>0</v>
      </c>
      <c r="EE18" s="35" t="s">
        <v>363</v>
      </c>
      <c r="EF18" s="35" t="s">
        <v>117</v>
      </c>
      <c r="EG18" s="35" t="s">
        <v>363</v>
      </c>
      <c r="EI18" s="47">
        <v>9.59</v>
      </c>
      <c r="EJ18" s="47">
        <v>9.59</v>
      </c>
      <c r="EK18" s="47">
        <v>9.59</v>
      </c>
      <c r="EL18" s="36" t="s">
        <v>15</v>
      </c>
      <c r="EM18" s="36">
        <v>3</v>
      </c>
      <c r="EN18" s="36">
        <v>3</v>
      </c>
      <c r="EO18" s="36">
        <v>3</v>
      </c>
      <c r="EP18" s="36" t="s">
        <v>15</v>
      </c>
      <c r="EQ18" s="48">
        <v>9.59</v>
      </c>
      <c r="ER18" s="36" t="s">
        <v>15</v>
      </c>
      <c r="ES18" s="36" t="s">
        <v>17</v>
      </c>
      <c r="ET18" s="35" t="s">
        <v>362</v>
      </c>
      <c r="EU18" s="35" t="s">
        <v>363</v>
      </c>
      <c r="EV18" s="35" t="s">
        <v>363</v>
      </c>
      <c r="EW18" s="35" t="s">
        <v>118</v>
      </c>
      <c r="EX18" s="40">
        <v>0</v>
      </c>
      <c r="EY18" s="35" t="s">
        <v>363</v>
      </c>
      <c r="EZ18" s="35" t="s">
        <v>117</v>
      </c>
      <c r="FA18" s="35" t="s">
        <v>363</v>
      </c>
      <c r="FC18" s="47">
        <v>9.39</v>
      </c>
      <c r="FD18" s="47">
        <v>9.39</v>
      </c>
      <c r="FE18" s="47">
        <v>9.39</v>
      </c>
      <c r="FF18" s="36" t="s">
        <v>15</v>
      </c>
      <c r="FG18" s="36">
        <v>4</v>
      </c>
      <c r="FH18" s="36">
        <v>4</v>
      </c>
      <c r="FI18" s="36">
        <v>4</v>
      </c>
      <c r="FJ18" s="36" t="s">
        <v>15</v>
      </c>
      <c r="FK18" s="48">
        <v>9.39</v>
      </c>
      <c r="FL18" s="36" t="s">
        <v>15</v>
      </c>
      <c r="FM18" s="36" t="s">
        <v>17</v>
      </c>
      <c r="FN18" s="35" t="s">
        <v>362</v>
      </c>
      <c r="FO18" s="35" t="s">
        <v>363</v>
      </c>
      <c r="FP18" s="35" t="s">
        <v>363</v>
      </c>
      <c r="FQ18" s="35" t="s">
        <v>118</v>
      </c>
      <c r="FR18" s="40">
        <v>0</v>
      </c>
      <c r="FS18" s="35" t="s">
        <v>363</v>
      </c>
      <c r="FT18" s="35" t="s">
        <v>117</v>
      </c>
      <c r="FU18" s="35" t="s">
        <v>363</v>
      </c>
      <c r="FW18" s="47">
        <v>9.19</v>
      </c>
      <c r="FX18" s="47">
        <v>9.19</v>
      </c>
      <c r="FY18" s="47">
        <v>9.19</v>
      </c>
      <c r="FZ18" s="36" t="s">
        <v>15</v>
      </c>
      <c r="GA18" s="36">
        <v>5</v>
      </c>
      <c r="GB18" s="36">
        <v>5</v>
      </c>
      <c r="GC18" s="36">
        <v>5</v>
      </c>
      <c r="GD18" s="36" t="s">
        <v>15</v>
      </c>
      <c r="GE18" s="48">
        <v>9.19</v>
      </c>
      <c r="GF18" s="36" t="s">
        <v>15</v>
      </c>
      <c r="GG18" s="36" t="s">
        <v>17</v>
      </c>
      <c r="GH18" s="35" t="s">
        <v>362</v>
      </c>
      <c r="GI18" s="35" t="s">
        <v>363</v>
      </c>
      <c r="GJ18" s="35" t="s">
        <v>363</v>
      </c>
      <c r="GK18" s="35" t="s">
        <v>118</v>
      </c>
      <c r="GL18" s="40">
        <v>0</v>
      </c>
      <c r="GM18" s="35" t="s">
        <v>363</v>
      </c>
      <c r="GN18" s="35" t="s">
        <v>117</v>
      </c>
      <c r="GO18" s="35" t="s">
        <v>363</v>
      </c>
      <c r="GQ18" s="47">
        <v>8.99375</v>
      </c>
      <c r="GR18" s="47">
        <v>8.99685</v>
      </c>
      <c r="GS18" s="47">
        <v>8.99685</v>
      </c>
      <c r="GT18" s="36" t="s">
        <v>15</v>
      </c>
      <c r="GU18" s="36">
        <v>1</v>
      </c>
      <c r="GV18" s="36">
        <v>1</v>
      </c>
      <c r="GW18" s="36">
        <v>1</v>
      </c>
      <c r="GX18" s="36" t="s">
        <v>15</v>
      </c>
      <c r="GY18" s="48">
        <v>8.99375</v>
      </c>
      <c r="GZ18" s="36" t="s">
        <v>15</v>
      </c>
      <c r="HA18" s="36" t="s">
        <v>17</v>
      </c>
      <c r="HB18" s="35" t="s">
        <v>362</v>
      </c>
      <c r="HC18" s="35" t="s">
        <v>363</v>
      </c>
      <c r="HD18" s="35" t="s">
        <v>363</v>
      </c>
      <c r="HE18" s="35" t="s">
        <v>118</v>
      </c>
      <c r="HF18" s="40">
        <v>0</v>
      </c>
      <c r="HG18" s="35" t="s">
        <v>363</v>
      </c>
      <c r="HH18" s="35" t="s">
        <v>117</v>
      </c>
      <c r="HI18" s="35" t="s">
        <v>363</v>
      </c>
      <c r="HK18" s="47">
        <v>8.86875</v>
      </c>
      <c r="HL18" s="47">
        <v>8.93385</v>
      </c>
      <c r="HM18" s="47">
        <v>8.93385</v>
      </c>
      <c r="HN18" s="36" t="s">
        <v>15</v>
      </c>
      <c r="HO18" s="36">
        <v>2</v>
      </c>
      <c r="HP18" s="36">
        <v>2</v>
      </c>
      <c r="HQ18" s="36">
        <v>2</v>
      </c>
      <c r="HR18" s="36" t="s">
        <v>15</v>
      </c>
      <c r="HS18" s="48">
        <v>8.86875</v>
      </c>
      <c r="HT18" s="36" t="s">
        <v>15</v>
      </c>
      <c r="HU18" s="36" t="s">
        <v>17</v>
      </c>
      <c r="HV18" s="35" t="s">
        <v>362</v>
      </c>
      <c r="HW18" s="35" t="s">
        <v>363</v>
      </c>
      <c r="HX18" s="35" t="s">
        <v>363</v>
      </c>
      <c r="HY18" s="35" t="s">
        <v>118</v>
      </c>
      <c r="HZ18" s="40">
        <v>0</v>
      </c>
      <c r="IA18" s="35" t="s">
        <v>363</v>
      </c>
      <c r="IB18" s="35" t="s">
        <v>117</v>
      </c>
      <c r="IC18" s="35" t="s">
        <v>363</v>
      </c>
      <c r="IE18" s="47">
        <v>8.74375</v>
      </c>
      <c r="IF18" s="47">
        <v>8.87085</v>
      </c>
      <c r="IG18" s="47">
        <v>8.87085</v>
      </c>
      <c r="IH18" s="36" t="s">
        <v>15</v>
      </c>
      <c r="II18" s="36">
        <v>3</v>
      </c>
      <c r="IJ18" s="36">
        <v>3</v>
      </c>
      <c r="IK18" s="36">
        <v>3</v>
      </c>
      <c r="IL18" s="36" t="s">
        <v>15</v>
      </c>
      <c r="IM18" s="48">
        <v>8.74375</v>
      </c>
      <c r="IN18" s="36" t="s">
        <v>15</v>
      </c>
      <c r="IO18" s="36" t="s">
        <v>17</v>
      </c>
      <c r="IP18" s="35" t="s">
        <v>362</v>
      </c>
      <c r="IQ18" s="35" t="s">
        <v>363</v>
      </c>
      <c r="IR18" s="35" t="s">
        <v>363</v>
      </c>
      <c r="IS18" s="35" t="s">
        <v>118</v>
      </c>
      <c r="IT18" s="40">
        <v>0</v>
      </c>
      <c r="IU18" s="35" t="s">
        <v>363</v>
      </c>
      <c r="IV18" s="35" t="s">
        <v>117</v>
      </c>
      <c r="IW18" s="35" t="s">
        <v>363</v>
      </c>
      <c r="IY18" s="47">
        <v>8.61875</v>
      </c>
      <c r="IZ18" s="47">
        <v>8.80785</v>
      </c>
      <c r="JA18" s="47">
        <v>8.80785</v>
      </c>
      <c r="JB18" s="36" t="s">
        <v>15</v>
      </c>
      <c r="JC18" s="36">
        <v>4</v>
      </c>
      <c r="JD18" s="36">
        <v>4</v>
      </c>
      <c r="JE18" s="36">
        <v>4</v>
      </c>
      <c r="JF18" s="36" t="s">
        <v>15</v>
      </c>
      <c r="JG18" s="48">
        <v>8.61875</v>
      </c>
      <c r="JH18" s="36" t="s">
        <v>15</v>
      </c>
      <c r="JI18" s="36" t="s">
        <v>17</v>
      </c>
      <c r="JJ18" s="35" t="s">
        <v>362</v>
      </c>
      <c r="JK18" s="35" t="s">
        <v>363</v>
      </c>
      <c r="JL18" s="35" t="s">
        <v>363</v>
      </c>
      <c r="JM18" s="35" t="s">
        <v>118</v>
      </c>
      <c r="JN18" s="40">
        <v>0</v>
      </c>
      <c r="JO18" s="35" t="s">
        <v>363</v>
      </c>
      <c r="JP18" s="35" t="s">
        <v>117</v>
      </c>
      <c r="JQ18" s="35" t="s">
        <v>363</v>
      </c>
      <c r="JS18" s="47">
        <v>8.49375</v>
      </c>
      <c r="JT18" s="47">
        <v>8.74485</v>
      </c>
      <c r="JU18" s="47">
        <v>8.74485</v>
      </c>
      <c r="JV18" s="36" t="s">
        <v>15</v>
      </c>
      <c r="JW18" s="36">
        <v>5</v>
      </c>
      <c r="JX18" s="36">
        <v>5</v>
      </c>
      <c r="JY18" s="36">
        <v>5</v>
      </c>
      <c r="JZ18" s="36" t="s">
        <v>15</v>
      </c>
      <c r="KA18" s="48">
        <v>8.49375</v>
      </c>
      <c r="KB18" s="36" t="s">
        <v>15</v>
      </c>
      <c r="KC18" s="36" t="s">
        <v>17</v>
      </c>
      <c r="KD18" s="35" t="s">
        <v>362</v>
      </c>
      <c r="KE18" s="35" t="s">
        <v>363</v>
      </c>
      <c r="KF18" s="35" t="s">
        <v>363</v>
      </c>
      <c r="KG18" s="35" t="s">
        <v>118</v>
      </c>
      <c r="KH18" s="40">
        <v>0</v>
      </c>
      <c r="KI18" s="35" t="s">
        <v>363</v>
      </c>
      <c r="KJ18" s="35" t="s">
        <v>117</v>
      </c>
      <c r="KK18" s="35" t="s">
        <v>363</v>
      </c>
      <c r="KM18" s="47">
        <v>8.36875</v>
      </c>
      <c r="KN18" s="47">
        <v>8.68185</v>
      </c>
      <c r="KO18" s="47">
        <v>8.68185</v>
      </c>
      <c r="KP18" s="36" t="s">
        <v>15</v>
      </c>
      <c r="KQ18" s="36">
        <v>6</v>
      </c>
      <c r="KR18" s="36">
        <v>6</v>
      </c>
      <c r="KS18" s="36">
        <v>6</v>
      </c>
      <c r="KT18" s="36" t="s">
        <v>15</v>
      </c>
      <c r="KU18" s="48">
        <v>8.36875</v>
      </c>
      <c r="KV18" s="36" t="s">
        <v>15</v>
      </c>
      <c r="KW18" s="36" t="s">
        <v>17</v>
      </c>
      <c r="KX18" s="35" t="s">
        <v>362</v>
      </c>
      <c r="KY18" s="35" t="s">
        <v>363</v>
      </c>
      <c r="KZ18" s="35" t="s">
        <v>363</v>
      </c>
      <c r="LA18" s="35" t="s">
        <v>118</v>
      </c>
      <c r="LB18" s="40">
        <v>0</v>
      </c>
      <c r="LC18" s="35" t="s">
        <v>363</v>
      </c>
      <c r="LD18" s="35" t="s">
        <v>117</v>
      </c>
      <c r="LE18" s="35" t="s">
        <v>363</v>
      </c>
    </row>
    <row r="19">
      <c r="A19" s="0" t="s">
        <v>341</v>
      </c>
      <c r="B19" s="6" t="s">
        <v>342</v>
      </c>
      <c r="C19" s="0" t="s">
        <v>421</v>
      </c>
      <c r="D19" s="6">
        <v>30048</v>
      </c>
      <c r="E19" s="6" t="s">
        <v>344</v>
      </c>
      <c r="F19" s="0" t="s">
        <v>345</v>
      </c>
      <c r="G19" s="0" t="s">
        <v>40</v>
      </c>
      <c r="H19" s="6" t="s">
        <v>346</v>
      </c>
      <c r="I19" s="0" t="s">
        <v>347</v>
      </c>
      <c r="K19" s="0" t="s">
        <v>422</v>
      </c>
      <c r="L19" s="0" t="s">
        <v>423</v>
      </c>
      <c r="M19" s="0" t="s">
        <v>424</v>
      </c>
      <c r="N19" s="0" t="s">
        <v>351</v>
      </c>
      <c r="O19" s="33">
        <v>47</v>
      </c>
      <c r="P19" s="33">
        <v>1212.6</v>
      </c>
      <c r="Q19" s="6" t="s">
        <v>15</v>
      </c>
      <c r="R19" s="0" t="s">
        <v>352</v>
      </c>
      <c r="S19" s="6" t="s">
        <v>25</v>
      </c>
      <c r="T19" s="0" t="s">
        <v>382</v>
      </c>
      <c r="U19" s="6" t="s">
        <v>15</v>
      </c>
      <c r="V19" s="6" t="s">
        <v>15</v>
      </c>
      <c r="W19" s="0" t="s">
        <v>62</v>
      </c>
      <c r="X19" s="6" t="s">
        <v>15</v>
      </c>
      <c r="Y19" s="6" t="s">
        <v>17</v>
      </c>
      <c r="Z19" s="34" t="s">
        <v>39</v>
      </c>
      <c r="AA19" s="6" t="s">
        <v>15</v>
      </c>
      <c r="AB19" s="0" t="s">
        <v>354</v>
      </c>
      <c r="AC19" s="6">
        <v>5</v>
      </c>
      <c r="AD19" s="6" t="s">
        <v>368</v>
      </c>
      <c r="AE19" s="6" t="s">
        <v>425</v>
      </c>
      <c r="AF19" s="6">
        <v>1931</v>
      </c>
      <c r="AG19" s="6">
        <v>96</v>
      </c>
      <c r="AH19" s="33">
        <v>300</v>
      </c>
      <c r="AI19" s="33">
        <v>603</v>
      </c>
      <c r="AJ19" s="33">
        <v>5</v>
      </c>
      <c r="AK19" s="6" t="s">
        <v>355</v>
      </c>
      <c r="AL19" s="33">
        <v>47</v>
      </c>
      <c r="AM19" s="0" t="s">
        <v>15</v>
      </c>
      <c r="AN19" s="0" t="s">
        <v>342</v>
      </c>
      <c r="AO19" s="6" t="s">
        <v>356</v>
      </c>
      <c r="AP19" s="6" t="s">
        <v>15</v>
      </c>
      <c r="AQ19" s="0" t="s">
        <v>357</v>
      </c>
      <c r="AR19" s="6" t="s">
        <v>15</v>
      </c>
      <c r="AS19" s="6" t="s">
        <v>15</v>
      </c>
      <c r="AT19" s="6" t="s">
        <v>17</v>
      </c>
      <c r="AU19" s="6" t="s">
        <v>15</v>
      </c>
      <c r="AV19" s="6" t="s">
        <v>17</v>
      </c>
      <c r="AW19" s="6" t="s">
        <v>15</v>
      </c>
      <c r="AX19" s="43" t="s">
        <v>383</v>
      </c>
      <c r="AY19" s="44">
        <v>1333860</v>
      </c>
      <c r="AZ19" s="43" t="s">
        <v>359</v>
      </c>
      <c r="BA19" s="44">
        <v>0</v>
      </c>
      <c r="BB19" s="43" t="s">
        <v>359</v>
      </c>
      <c r="BC19" s="44">
        <v>0</v>
      </c>
      <c r="BD19" s="43" t="s">
        <v>359</v>
      </c>
      <c r="BE19" s="44">
        <v>0</v>
      </c>
      <c r="BF19" s="43" t="s">
        <v>359</v>
      </c>
      <c r="BG19" s="44">
        <v>0</v>
      </c>
      <c r="BH19" s="43" t="s">
        <v>359</v>
      </c>
      <c r="BI19" s="44">
        <v>0</v>
      </c>
      <c r="BJ19" s="43" t="s">
        <v>359</v>
      </c>
      <c r="BK19" s="44">
        <v>0</v>
      </c>
      <c r="BL19" s="43" t="s">
        <v>359</v>
      </c>
      <c r="BM19" s="44">
        <v>0</v>
      </c>
      <c r="BN19" s="43" t="s">
        <v>359</v>
      </c>
      <c r="BO19" s="44">
        <v>0</v>
      </c>
      <c r="BP19" s="43" t="s">
        <v>359</v>
      </c>
      <c r="BQ19" s="44">
        <v>0</v>
      </c>
      <c r="BR19" s="43" t="s">
        <v>359</v>
      </c>
      <c r="BS19" s="44">
        <v>0</v>
      </c>
      <c r="BT19" s="6" t="s">
        <v>360</v>
      </c>
      <c r="BU19" s="6" t="s">
        <v>359</v>
      </c>
      <c r="BW19" s="0" t="s">
        <v>361</v>
      </c>
      <c r="BX19" s="0" t="s">
        <v>359</v>
      </c>
      <c r="BY19" s="0" t="s">
        <v>359</v>
      </c>
      <c r="BZ19" s="0" t="s">
        <v>359</v>
      </c>
      <c r="CA19" s="0" t="s">
        <v>359</v>
      </c>
      <c r="CB19" s="0" t="s">
        <v>359</v>
      </c>
      <c r="CC19" s="0" t="s">
        <v>359</v>
      </c>
      <c r="CD19" s="0" t="s">
        <v>359</v>
      </c>
      <c r="CE19" s="0" t="s">
        <v>359</v>
      </c>
      <c r="CF19" s="0" t="s">
        <v>359</v>
      </c>
      <c r="CG19" s="0" t="s">
        <v>359</v>
      </c>
      <c r="CI19" s="46">
        <v>5.117</v>
      </c>
      <c r="CJ19" s="46">
        <v>4.11</v>
      </c>
      <c r="CK19" s="46">
        <v>4.415</v>
      </c>
      <c r="CL19" s="6" t="s">
        <v>15</v>
      </c>
      <c r="CM19" s="6">
        <v>34</v>
      </c>
      <c r="CN19" s="6">
        <v>24</v>
      </c>
      <c r="CO19" s="6">
        <v>12</v>
      </c>
      <c r="CP19" s="6" t="s">
        <v>15</v>
      </c>
      <c r="CQ19" s="45">
        <v>4.11</v>
      </c>
      <c r="CR19" s="6" t="s">
        <v>17</v>
      </c>
      <c r="CS19" s="6" t="s">
        <v>17</v>
      </c>
      <c r="CU19" s="46">
        <v>9.99</v>
      </c>
      <c r="CV19" s="46">
        <v>9.99</v>
      </c>
      <c r="CW19" s="46">
        <v>9.99</v>
      </c>
      <c r="CX19" s="6" t="s">
        <v>15</v>
      </c>
      <c r="CY19" s="6">
        <v>1</v>
      </c>
      <c r="CZ19" s="6">
        <v>1</v>
      </c>
      <c r="DA19" s="6">
        <v>1</v>
      </c>
      <c r="DB19" s="6" t="s">
        <v>15</v>
      </c>
      <c r="DC19" s="45">
        <v>9.99</v>
      </c>
      <c r="DD19" s="6" t="s">
        <v>15</v>
      </c>
      <c r="DE19" s="6" t="s">
        <v>17</v>
      </c>
      <c r="DF19" s="0" t="s">
        <v>362</v>
      </c>
      <c r="DG19" s="0" t="s">
        <v>363</v>
      </c>
      <c r="DH19" s="0" t="s">
        <v>136</v>
      </c>
      <c r="DI19" s="0" t="s">
        <v>108</v>
      </c>
      <c r="DJ19" s="39">
        <v>1333860</v>
      </c>
      <c r="DK19" s="0" t="s">
        <v>363</v>
      </c>
      <c r="DL19" s="0" t="s">
        <v>124</v>
      </c>
      <c r="DM19" s="0" t="s">
        <v>363</v>
      </c>
      <c r="DO19" s="46">
        <v>9.790000000000001</v>
      </c>
      <c r="DP19" s="46">
        <v>9.790000000000001</v>
      </c>
      <c r="DQ19" s="46">
        <v>9.790000000000001</v>
      </c>
      <c r="DR19" s="6" t="s">
        <v>15</v>
      </c>
      <c r="DS19" s="6">
        <v>2</v>
      </c>
      <c r="DT19" s="6">
        <v>2</v>
      </c>
      <c r="DU19" s="6">
        <v>2</v>
      </c>
      <c r="DV19" s="6" t="s">
        <v>15</v>
      </c>
      <c r="DW19" s="45">
        <v>9.790000000000001</v>
      </c>
      <c r="DX19" s="6" t="s">
        <v>15</v>
      </c>
      <c r="DY19" s="6" t="s">
        <v>17</v>
      </c>
      <c r="DZ19" s="0" t="s">
        <v>362</v>
      </c>
      <c r="EA19" s="0" t="s">
        <v>363</v>
      </c>
      <c r="EB19" s="0" t="s">
        <v>363</v>
      </c>
      <c r="EC19" s="0" t="s">
        <v>118</v>
      </c>
      <c r="ED19" s="39">
        <v>0</v>
      </c>
      <c r="EE19" s="0" t="s">
        <v>363</v>
      </c>
      <c r="EF19" s="0" t="s">
        <v>117</v>
      </c>
      <c r="EG19" s="0" t="s">
        <v>363</v>
      </c>
      <c r="EI19" s="46">
        <v>9.59</v>
      </c>
      <c r="EJ19" s="46">
        <v>9.59</v>
      </c>
      <c r="EK19" s="46">
        <v>9.59</v>
      </c>
      <c r="EL19" s="6" t="s">
        <v>15</v>
      </c>
      <c r="EM19" s="6">
        <v>3</v>
      </c>
      <c r="EN19" s="6">
        <v>3</v>
      </c>
      <c r="EO19" s="6">
        <v>3</v>
      </c>
      <c r="EP19" s="6" t="s">
        <v>15</v>
      </c>
      <c r="EQ19" s="45">
        <v>9.59</v>
      </c>
      <c r="ER19" s="6" t="s">
        <v>15</v>
      </c>
      <c r="ES19" s="6" t="s">
        <v>17</v>
      </c>
      <c r="ET19" s="0" t="s">
        <v>362</v>
      </c>
      <c r="EU19" s="0" t="s">
        <v>363</v>
      </c>
      <c r="EV19" s="0" t="s">
        <v>363</v>
      </c>
      <c r="EW19" s="0" t="s">
        <v>118</v>
      </c>
      <c r="EX19" s="39">
        <v>0</v>
      </c>
      <c r="EY19" s="0" t="s">
        <v>363</v>
      </c>
      <c r="EZ19" s="0" t="s">
        <v>117</v>
      </c>
      <c r="FA19" s="0" t="s">
        <v>363</v>
      </c>
      <c r="FC19" s="46">
        <v>9.39</v>
      </c>
      <c r="FD19" s="46">
        <v>9.39</v>
      </c>
      <c r="FE19" s="46">
        <v>9.39</v>
      </c>
      <c r="FF19" s="6" t="s">
        <v>15</v>
      </c>
      <c r="FG19" s="6">
        <v>4</v>
      </c>
      <c r="FH19" s="6">
        <v>4</v>
      </c>
      <c r="FI19" s="6">
        <v>4</v>
      </c>
      <c r="FJ19" s="6" t="s">
        <v>15</v>
      </c>
      <c r="FK19" s="45">
        <v>9.39</v>
      </c>
      <c r="FL19" s="6" t="s">
        <v>15</v>
      </c>
      <c r="FM19" s="6" t="s">
        <v>17</v>
      </c>
      <c r="FN19" s="0" t="s">
        <v>362</v>
      </c>
      <c r="FO19" s="0" t="s">
        <v>363</v>
      </c>
      <c r="FP19" s="0" t="s">
        <v>363</v>
      </c>
      <c r="FQ19" s="0" t="s">
        <v>118</v>
      </c>
      <c r="FR19" s="39">
        <v>0</v>
      </c>
      <c r="FS19" s="0" t="s">
        <v>363</v>
      </c>
      <c r="FT19" s="0" t="s">
        <v>117</v>
      </c>
      <c r="FU19" s="0" t="s">
        <v>363</v>
      </c>
      <c r="FW19" s="46">
        <v>9.19</v>
      </c>
      <c r="FX19" s="46">
        <v>9.19</v>
      </c>
      <c r="FY19" s="46">
        <v>9.19</v>
      </c>
      <c r="FZ19" s="6" t="s">
        <v>15</v>
      </c>
      <c r="GA19" s="6">
        <v>5</v>
      </c>
      <c r="GB19" s="6">
        <v>5</v>
      </c>
      <c r="GC19" s="6">
        <v>5</v>
      </c>
      <c r="GD19" s="6" t="s">
        <v>15</v>
      </c>
      <c r="GE19" s="45">
        <v>9.19</v>
      </c>
      <c r="GF19" s="6" t="s">
        <v>15</v>
      </c>
      <c r="GG19" s="6" t="s">
        <v>17</v>
      </c>
      <c r="GH19" s="0" t="s">
        <v>362</v>
      </c>
      <c r="GI19" s="0" t="s">
        <v>363</v>
      </c>
      <c r="GJ19" s="0" t="s">
        <v>363</v>
      </c>
      <c r="GK19" s="0" t="s">
        <v>118</v>
      </c>
      <c r="GL19" s="39">
        <v>0</v>
      </c>
      <c r="GM19" s="0" t="s">
        <v>363</v>
      </c>
      <c r="GN19" s="0" t="s">
        <v>117</v>
      </c>
      <c r="GO19" s="0" t="s">
        <v>363</v>
      </c>
      <c r="GQ19" s="46">
        <v>8.99375</v>
      </c>
      <c r="GR19" s="46">
        <v>8.99375</v>
      </c>
      <c r="GS19" s="46">
        <v>8.995000000000001</v>
      </c>
      <c r="GT19" s="6" t="s">
        <v>15</v>
      </c>
      <c r="GU19" s="6">
        <v>1</v>
      </c>
      <c r="GV19" s="6">
        <v>1</v>
      </c>
      <c r="GW19" s="6">
        <v>1</v>
      </c>
      <c r="GX19" s="6" t="s">
        <v>15</v>
      </c>
      <c r="GY19" s="45">
        <v>8.99375</v>
      </c>
      <c r="GZ19" s="6" t="s">
        <v>15</v>
      </c>
      <c r="HA19" s="6" t="s">
        <v>17</v>
      </c>
      <c r="HB19" s="0" t="s">
        <v>362</v>
      </c>
      <c r="HC19" s="0" t="s">
        <v>363</v>
      </c>
      <c r="HD19" s="0" t="s">
        <v>363</v>
      </c>
      <c r="HE19" s="0" t="s">
        <v>118</v>
      </c>
      <c r="HF19" s="39">
        <v>0</v>
      </c>
      <c r="HG19" s="0" t="s">
        <v>363</v>
      </c>
      <c r="HH19" s="0" t="s">
        <v>117</v>
      </c>
      <c r="HI19" s="0" t="s">
        <v>363</v>
      </c>
      <c r="HK19" s="46">
        <v>8.86875</v>
      </c>
      <c r="HL19" s="46">
        <v>8.86875</v>
      </c>
      <c r="HM19" s="46">
        <v>8.895000000000001</v>
      </c>
      <c r="HN19" s="6" t="s">
        <v>15</v>
      </c>
      <c r="HO19" s="6">
        <v>2</v>
      </c>
      <c r="HP19" s="6">
        <v>2</v>
      </c>
      <c r="HQ19" s="6">
        <v>2</v>
      </c>
      <c r="HR19" s="6" t="s">
        <v>15</v>
      </c>
      <c r="HS19" s="45">
        <v>8.86875</v>
      </c>
      <c r="HT19" s="6" t="s">
        <v>15</v>
      </c>
      <c r="HU19" s="6" t="s">
        <v>17</v>
      </c>
      <c r="HV19" s="0" t="s">
        <v>362</v>
      </c>
      <c r="HW19" s="0" t="s">
        <v>363</v>
      </c>
      <c r="HX19" s="0" t="s">
        <v>363</v>
      </c>
      <c r="HY19" s="0" t="s">
        <v>118</v>
      </c>
      <c r="HZ19" s="39">
        <v>0</v>
      </c>
      <c r="IA19" s="0" t="s">
        <v>363</v>
      </c>
      <c r="IB19" s="0" t="s">
        <v>117</v>
      </c>
      <c r="IC19" s="0" t="s">
        <v>363</v>
      </c>
      <c r="IE19" s="46">
        <v>8.74375</v>
      </c>
      <c r="IF19" s="46">
        <v>8.74375</v>
      </c>
      <c r="IG19" s="46">
        <v>8.795000000000002</v>
      </c>
      <c r="IH19" s="6" t="s">
        <v>15</v>
      </c>
      <c r="II19" s="6">
        <v>3</v>
      </c>
      <c r="IJ19" s="6">
        <v>3</v>
      </c>
      <c r="IK19" s="6">
        <v>3</v>
      </c>
      <c r="IL19" s="6" t="s">
        <v>15</v>
      </c>
      <c r="IM19" s="45">
        <v>8.74375</v>
      </c>
      <c r="IN19" s="6" t="s">
        <v>15</v>
      </c>
      <c r="IO19" s="6" t="s">
        <v>17</v>
      </c>
      <c r="IP19" s="0" t="s">
        <v>362</v>
      </c>
      <c r="IQ19" s="0" t="s">
        <v>363</v>
      </c>
      <c r="IR19" s="0" t="s">
        <v>363</v>
      </c>
      <c r="IS19" s="0" t="s">
        <v>118</v>
      </c>
      <c r="IT19" s="39">
        <v>0</v>
      </c>
      <c r="IU19" s="0" t="s">
        <v>363</v>
      </c>
      <c r="IV19" s="0" t="s">
        <v>117</v>
      </c>
      <c r="IW19" s="0" t="s">
        <v>363</v>
      </c>
      <c r="IY19" s="46">
        <v>8.61875</v>
      </c>
      <c r="IZ19" s="46">
        <v>8.61875</v>
      </c>
      <c r="JA19" s="46">
        <v>8.695</v>
      </c>
      <c r="JB19" s="6" t="s">
        <v>15</v>
      </c>
      <c r="JC19" s="6">
        <v>4</v>
      </c>
      <c r="JD19" s="6">
        <v>4</v>
      </c>
      <c r="JE19" s="6">
        <v>4</v>
      </c>
      <c r="JF19" s="6" t="s">
        <v>15</v>
      </c>
      <c r="JG19" s="45">
        <v>8.61875</v>
      </c>
      <c r="JH19" s="6" t="s">
        <v>15</v>
      </c>
      <c r="JI19" s="6" t="s">
        <v>17</v>
      </c>
      <c r="JJ19" s="0" t="s">
        <v>362</v>
      </c>
      <c r="JK19" s="0" t="s">
        <v>363</v>
      </c>
      <c r="JL19" s="0" t="s">
        <v>363</v>
      </c>
      <c r="JM19" s="0" t="s">
        <v>118</v>
      </c>
      <c r="JN19" s="39">
        <v>0</v>
      </c>
      <c r="JO19" s="0" t="s">
        <v>363</v>
      </c>
      <c r="JP19" s="0" t="s">
        <v>117</v>
      </c>
      <c r="JQ19" s="0" t="s">
        <v>363</v>
      </c>
      <c r="JS19" s="46">
        <v>8.49375</v>
      </c>
      <c r="JT19" s="46">
        <v>8.49375</v>
      </c>
      <c r="JU19" s="46">
        <v>8.595</v>
      </c>
      <c r="JV19" s="6" t="s">
        <v>15</v>
      </c>
      <c r="JW19" s="6">
        <v>5</v>
      </c>
      <c r="JX19" s="6">
        <v>5</v>
      </c>
      <c r="JY19" s="6">
        <v>5</v>
      </c>
      <c r="JZ19" s="6" t="s">
        <v>15</v>
      </c>
      <c r="KA19" s="45">
        <v>8.49375</v>
      </c>
      <c r="KB19" s="6" t="s">
        <v>15</v>
      </c>
      <c r="KC19" s="6" t="s">
        <v>17</v>
      </c>
      <c r="KD19" s="0" t="s">
        <v>362</v>
      </c>
      <c r="KE19" s="0" t="s">
        <v>363</v>
      </c>
      <c r="KF19" s="0" t="s">
        <v>363</v>
      </c>
      <c r="KG19" s="0" t="s">
        <v>118</v>
      </c>
      <c r="KH19" s="39">
        <v>0</v>
      </c>
      <c r="KI19" s="0" t="s">
        <v>363</v>
      </c>
      <c r="KJ19" s="0" t="s">
        <v>117</v>
      </c>
      <c r="KK19" s="0" t="s">
        <v>363</v>
      </c>
      <c r="KM19" s="46">
        <v>8.36875</v>
      </c>
      <c r="KN19" s="46">
        <v>8.36875</v>
      </c>
      <c r="KO19" s="46">
        <v>8.495000000000001</v>
      </c>
      <c r="KP19" s="6" t="s">
        <v>15</v>
      </c>
      <c r="KQ19" s="6">
        <v>6</v>
      </c>
      <c r="KR19" s="6">
        <v>6</v>
      </c>
      <c r="KS19" s="6">
        <v>6</v>
      </c>
      <c r="KT19" s="6" t="s">
        <v>15</v>
      </c>
      <c r="KU19" s="45">
        <v>8.36875</v>
      </c>
      <c r="KV19" s="6" t="s">
        <v>15</v>
      </c>
      <c r="KW19" s="6" t="s">
        <v>17</v>
      </c>
      <c r="KX19" s="0" t="s">
        <v>362</v>
      </c>
      <c r="KY19" s="0" t="s">
        <v>363</v>
      </c>
      <c r="KZ19" s="0" t="s">
        <v>363</v>
      </c>
      <c r="LA19" s="0" t="s">
        <v>118</v>
      </c>
      <c r="LB19" s="39">
        <v>0</v>
      </c>
      <c r="LC19" s="0" t="s">
        <v>363</v>
      </c>
      <c r="LD19" s="0" t="s">
        <v>117</v>
      </c>
      <c r="LE19" s="0" t="s">
        <v>363</v>
      </c>
    </row>
    <row r="20">
      <c r="A20" s="35" t="s">
        <v>341</v>
      </c>
      <c r="B20" s="36" t="s">
        <v>342</v>
      </c>
      <c r="C20" s="35" t="s">
        <v>426</v>
      </c>
      <c r="D20" s="36">
        <v>30049</v>
      </c>
      <c r="E20" s="36" t="s">
        <v>344</v>
      </c>
      <c r="F20" s="35" t="s">
        <v>345</v>
      </c>
      <c r="G20" s="35" t="s">
        <v>40</v>
      </c>
      <c r="H20" s="36" t="s">
        <v>346</v>
      </c>
      <c r="I20" s="35" t="s">
        <v>347</v>
      </c>
      <c r="J20" s="35"/>
      <c r="K20" s="35" t="s">
        <v>427</v>
      </c>
      <c r="L20" s="35" t="s">
        <v>428</v>
      </c>
      <c r="M20" s="35" t="s">
        <v>429</v>
      </c>
      <c r="N20" s="35" t="s">
        <v>351</v>
      </c>
      <c r="O20" s="37">
        <v>122</v>
      </c>
      <c r="P20" s="37">
        <v>3403.8</v>
      </c>
      <c r="Q20" s="36" t="s">
        <v>15</v>
      </c>
      <c r="R20" s="35" t="s">
        <v>430</v>
      </c>
      <c r="S20" s="36" t="s">
        <v>368</v>
      </c>
      <c r="T20" s="35" t="s">
        <v>369</v>
      </c>
      <c r="U20" s="36" t="s">
        <v>15</v>
      </c>
      <c r="V20" s="36" t="s">
        <v>15</v>
      </c>
      <c r="W20" s="35" t="s">
        <v>62</v>
      </c>
      <c r="X20" s="36" t="s">
        <v>15</v>
      </c>
      <c r="Y20" s="36" t="s">
        <v>17</v>
      </c>
      <c r="Z20" s="38" t="s">
        <v>39</v>
      </c>
      <c r="AA20" s="36" t="s">
        <v>15</v>
      </c>
      <c r="AB20" s="35" t="s">
        <v>354</v>
      </c>
      <c r="AC20" s="36">
        <v>6</v>
      </c>
      <c r="AD20" s="36" t="s">
        <v>15</v>
      </c>
      <c r="AE20" s="36" t="s">
        <v>15</v>
      </c>
      <c r="AF20" s="36">
        <v>1956</v>
      </c>
      <c r="AG20" s="36">
        <v>71</v>
      </c>
      <c r="AH20" s="37">
        <v>1400</v>
      </c>
      <c r="AI20" s="37">
        <v>2183</v>
      </c>
      <c r="AJ20" s="37">
        <v>5</v>
      </c>
      <c r="AK20" s="36" t="s">
        <v>355</v>
      </c>
      <c r="AL20" s="37">
        <v>22</v>
      </c>
      <c r="AM20" s="35" t="s">
        <v>17</v>
      </c>
      <c r="AN20" s="35" t="s">
        <v>359</v>
      </c>
      <c r="AO20" s="36" t="s">
        <v>356</v>
      </c>
      <c r="AP20" s="36" t="s">
        <v>15</v>
      </c>
      <c r="AQ20" s="35" t="s">
        <v>357</v>
      </c>
      <c r="AR20" s="36" t="s">
        <v>15</v>
      </c>
      <c r="AS20" s="36" t="s">
        <v>15</v>
      </c>
      <c r="AT20" s="36" t="s">
        <v>17</v>
      </c>
      <c r="AU20" s="36" t="s">
        <v>15</v>
      </c>
      <c r="AV20" s="36" t="s">
        <v>17</v>
      </c>
      <c r="AW20" s="36" t="s">
        <v>15</v>
      </c>
      <c r="AX20" s="41" t="s">
        <v>431</v>
      </c>
      <c r="AY20" s="42">
        <v>17019</v>
      </c>
      <c r="AZ20" s="41" t="s">
        <v>371</v>
      </c>
      <c r="BA20" s="42">
        <v>1577661.3</v>
      </c>
      <c r="BB20" s="41" t="s">
        <v>359</v>
      </c>
      <c r="BC20" s="42">
        <v>0</v>
      </c>
      <c r="BD20" s="41" t="s">
        <v>359</v>
      </c>
      <c r="BE20" s="42">
        <v>0</v>
      </c>
      <c r="BF20" s="41" t="s">
        <v>359</v>
      </c>
      <c r="BG20" s="42">
        <v>0</v>
      </c>
      <c r="BH20" s="41" t="s">
        <v>359</v>
      </c>
      <c r="BI20" s="42">
        <v>0</v>
      </c>
      <c r="BJ20" s="41" t="s">
        <v>359</v>
      </c>
      <c r="BK20" s="42">
        <v>0</v>
      </c>
      <c r="BL20" s="41" t="s">
        <v>359</v>
      </c>
      <c r="BM20" s="42">
        <v>0</v>
      </c>
      <c r="BN20" s="41" t="s">
        <v>359</v>
      </c>
      <c r="BO20" s="42">
        <v>0</v>
      </c>
      <c r="BP20" s="41" t="s">
        <v>359</v>
      </c>
      <c r="BQ20" s="42">
        <v>0</v>
      </c>
      <c r="BR20" s="41" t="s">
        <v>359</v>
      </c>
      <c r="BS20" s="42">
        <v>0</v>
      </c>
      <c r="BT20" s="36" t="s">
        <v>360</v>
      </c>
      <c r="BU20" s="36" t="s">
        <v>360</v>
      </c>
      <c r="BV20" s="35"/>
      <c r="BW20" s="35" t="s">
        <v>359</v>
      </c>
      <c r="BX20" s="35" t="s">
        <v>361</v>
      </c>
      <c r="BY20" s="35" t="s">
        <v>359</v>
      </c>
      <c r="BZ20" s="35" t="s">
        <v>359</v>
      </c>
      <c r="CA20" s="35" t="s">
        <v>359</v>
      </c>
      <c r="CB20" s="35" t="s">
        <v>359</v>
      </c>
      <c r="CC20" s="35" t="s">
        <v>359</v>
      </c>
      <c r="CD20" s="35" t="s">
        <v>359</v>
      </c>
      <c r="CE20" s="35" t="s">
        <v>359</v>
      </c>
      <c r="CF20" s="35" t="s">
        <v>359</v>
      </c>
      <c r="CG20" s="35" t="s">
        <v>359</v>
      </c>
      <c r="CI20" s="47">
        <v>4.288</v>
      </c>
      <c r="CJ20" s="47">
        <v>4.287</v>
      </c>
      <c r="CK20" s="47">
        <v>6.435</v>
      </c>
      <c r="CL20" s="36" t="s">
        <v>15</v>
      </c>
      <c r="CM20" s="36">
        <v>12</v>
      </c>
      <c r="CN20" s="36">
        <v>12</v>
      </c>
      <c r="CO20" s="36">
        <v>12</v>
      </c>
      <c r="CP20" s="36" t="s">
        <v>15</v>
      </c>
      <c r="CQ20" s="48">
        <v>4.287</v>
      </c>
      <c r="CR20" s="36" t="s">
        <v>17</v>
      </c>
      <c r="CS20" s="36" t="s">
        <v>17</v>
      </c>
      <c r="CU20" s="47">
        <v>4.288</v>
      </c>
      <c r="CV20" s="47">
        <v>4.787</v>
      </c>
      <c r="CW20" s="47">
        <v>6.685</v>
      </c>
      <c r="CX20" s="36" t="s">
        <v>15</v>
      </c>
      <c r="CY20" s="36">
        <v>12</v>
      </c>
      <c r="CZ20" s="36">
        <v>12</v>
      </c>
      <c r="DA20" s="36">
        <v>12</v>
      </c>
      <c r="DB20" s="36" t="s">
        <v>15</v>
      </c>
      <c r="DC20" s="48">
        <v>4.288</v>
      </c>
      <c r="DD20" s="36" t="s">
        <v>17</v>
      </c>
      <c r="DE20" s="36" t="s">
        <v>17</v>
      </c>
      <c r="DF20" s="35" t="s">
        <v>362</v>
      </c>
      <c r="DG20" s="35" t="s">
        <v>363</v>
      </c>
      <c r="DH20" s="35" t="s">
        <v>136</v>
      </c>
      <c r="DI20" s="35" t="s">
        <v>116</v>
      </c>
      <c r="DJ20" s="40">
        <v>17019</v>
      </c>
      <c r="DK20" s="35" t="s">
        <v>363</v>
      </c>
      <c r="DL20" s="35" t="s">
        <v>121</v>
      </c>
      <c r="DM20" s="35" t="s">
        <v>363</v>
      </c>
      <c r="DO20" s="47">
        <v>9.99</v>
      </c>
      <c r="DP20" s="47">
        <v>9.99</v>
      </c>
      <c r="DQ20" s="47">
        <v>7.584999999999999</v>
      </c>
      <c r="DR20" s="36" t="s">
        <v>15</v>
      </c>
      <c r="DS20" s="36">
        <v>1</v>
      </c>
      <c r="DT20" s="36">
        <v>1</v>
      </c>
      <c r="DU20" s="36">
        <v>1</v>
      </c>
      <c r="DV20" s="36" t="s">
        <v>15</v>
      </c>
      <c r="DW20" s="48">
        <v>7.584999999999999</v>
      </c>
      <c r="DX20" s="36" t="s">
        <v>15</v>
      </c>
      <c r="DY20" s="36" t="s">
        <v>17</v>
      </c>
      <c r="DZ20" s="35" t="s">
        <v>362</v>
      </c>
      <c r="EA20" s="35" t="s">
        <v>363</v>
      </c>
      <c r="EB20" s="35" t="s">
        <v>136</v>
      </c>
      <c r="EC20" s="35" t="s">
        <v>128</v>
      </c>
      <c r="ED20" s="40">
        <v>1577661.3</v>
      </c>
      <c r="EE20" s="35" t="s">
        <v>363</v>
      </c>
      <c r="EF20" s="35" t="s">
        <v>122</v>
      </c>
      <c r="EG20" s="35" t="s">
        <v>363</v>
      </c>
      <c r="EI20" s="47">
        <v>9.790000000000001</v>
      </c>
      <c r="EJ20" s="47">
        <v>9.790000000000001</v>
      </c>
      <c r="EK20" s="47">
        <v>7.484999999999999</v>
      </c>
      <c r="EL20" s="36" t="s">
        <v>15</v>
      </c>
      <c r="EM20" s="36">
        <v>2</v>
      </c>
      <c r="EN20" s="36">
        <v>2</v>
      </c>
      <c r="EO20" s="36">
        <v>2</v>
      </c>
      <c r="EP20" s="36" t="s">
        <v>15</v>
      </c>
      <c r="EQ20" s="48">
        <v>7.484999999999999</v>
      </c>
      <c r="ER20" s="36" t="s">
        <v>15</v>
      </c>
      <c r="ES20" s="36" t="s">
        <v>17</v>
      </c>
      <c r="ET20" s="35" t="s">
        <v>362</v>
      </c>
      <c r="EU20" s="35" t="s">
        <v>363</v>
      </c>
      <c r="EV20" s="35" t="s">
        <v>363</v>
      </c>
      <c r="EW20" s="35" t="s">
        <v>118</v>
      </c>
      <c r="EX20" s="40">
        <v>0</v>
      </c>
      <c r="EY20" s="35" t="s">
        <v>363</v>
      </c>
      <c r="EZ20" s="35" t="s">
        <v>117</v>
      </c>
      <c r="FA20" s="35" t="s">
        <v>363</v>
      </c>
      <c r="FC20" s="47">
        <v>9.59</v>
      </c>
      <c r="FD20" s="47">
        <v>9.59</v>
      </c>
      <c r="FE20" s="47">
        <v>7.385</v>
      </c>
      <c r="FF20" s="36" t="s">
        <v>15</v>
      </c>
      <c r="FG20" s="36">
        <v>3</v>
      </c>
      <c r="FH20" s="36">
        <v>3</v>
      </c>
      <c r="FI20" s="36">
        <v>3</v>
      </c>
      <c r="FJ20" s="36" t="s">
        <v>15</v>
      </c>
      <c r="FK20" s="48">
        <v>7.385</v>
      </c>
      <c r="FL20" s="36" t="s">
        <v>15</v>
      </c>
      <c r="FM20" s="36" t="s">
        <v>17</v>
      </c>
      <c r="FN20" s="35" t="s">
        <v>362</v>
      </c>
      <c r="FO20" s="35" t="s">
        <v>363</v>
      </c>
      <c r="FP20" s="35" t="s">
        <v>363</v>
      </c>
      <c r="FQ20" s="35" t="s">
        <v>118</v>
      </c>
      <c r="FR20" s="40">
        <v>0</v>
      </c>
      <c r="FS20" s="35" t="s">
        <v>363</v>
      </c>
      <c r="FT20" s="35" t="s">
        <v>117</v>
      </c>
      <c r="FU20" s="35" t="s">
        <v>363</v>
      </c>
      <c r="FW20" s="47">
        <v>9.39</v>
      </c>
      <c r="FX20" s="47">
        <v>9.39</v>
      </c>
      <c r="FY20" s="47">
        <v>7.284999999999999</v>
      </c>
      <c r="FZ20" s="36" t="s">
        <v>15</v>
      </c>
      <c r="GA20" s="36">
        <v>4</v>
      </c>
      <c r="GB20" s="36">
        <v>4</v>
      </c>
      <c r="GC20" s="36">
        <v>4</v>
      </c>
      <c r="GD20" s="36" t="s">
        <v>15</v>
      </c>
      <c r="GE20" s="48">
        <v>7.284999999999999</v>
      </c>
      <c r="GF20" s="36" t="s">
        <v>15</v>
      </c>
      <c r="GG20" s="36" t="s">
        <v>17</v>
      </c>
      <c r="GH20" s="35" t="s">
        <v>362</v>
      </c>
      <c r="GI20" s="35" t="s">
        <v>363</v>
      </c>
      <c r="GJ20" s="35" t="s">
        <v>363</v>
      </c>
      <c r="GK20" s="35" t="s">
        <v>118</v>
      </c>
      <c r="GL20" s="40">
        <v>0</v>
      </c>
      <c r="GM20" s="35" t="s">
        <v>363</v>
      </c>
      <c r="GN20" s="35" t="s">
        <v>117</v>
      </c>
      <c r="GO20" s="35" t="s">
        <v>363</v>
      </c>
      <c r="GQ20" s="47">
        <v>9.19</v>
      </c>
      <c r="GR20" s="47">
        <v>9.19</v>
      </c>
      <c r="GS20" s="47">
        <v>7.185</v>
      </c>
      <c r="GT20" s="36" t="s">
        <v>15</v>
      </c>
      <c r="GU20" s="36">
        <v>5</v>
      </c>
      <c r="GV20" s="36">
        <v>5</v>
      </c>
      <c r="GW20" s="36">
        <v>5</v>
      </c>
      <c r="GX20" s="36" t="s">
        <v>15</v>
      </c>
      <c r="GY20" s="48">
        <v>7.185</v>
      </c>
      <c r="GZ20" s="36" t="s">
        <v>15</v>
      </c>
      <c r="HA20" s="36" t="s">
        <v>17</v>
      </c>
      <c r="HB20" s="35" t="s">
        <v>362</v>
      </c>
      <c r="HC20" s="35" t="s">
        <v>363</v>
      </c>
      <c r="HD20" s="35" t="s">
        <v>363</v>
      </c>
      <c r="HE20" s="35" t="s">
        <v>118</v>
      </c>
      <c r="HF20" s="40">
        <v>0</v>
      </c>
      <c r="HG20" s="35" t="s">
        <v>363</v>
      </c>
      <c r="HH20" s="35" t="s">
        <v>117</v>
      </c>
      <c r="HI20" s="35" t="s">
        <v>363</v>
      </c>
      <c r="HK20" s="47">
        <v>8.995000000000001</v>
      </c>
      <c r="HL20" s="47">
        <v>8.995000000000001</v>
      </c>
      <c r="HM20" s="47">
        <v>7.084999999999999</v>
      </c>
      <c r="HN20" s="36" t="s">
        <v>15</v>
      </c>
      <c r="HO20" s="36">
        <v>1</v>
      </c>
      <c r="HP20" s="36">
        <v>1</v>
      </c>
      <c r="HQ20" s="36">
        <v>6</v>
      </c>
      <c r="HR20" s="36" t="s">
        <v>15</v>
      </c>
      <c r="HS20" s="48">
        <v>7.084999999999999</v>
      </c>
      <c r="HT20" s="36" t="s">
        <v>15</v>
      </c>
      <c r="HU20" s="36" t="s">
        <v>17</v>
      </c>
      <c r="HV20" s="35" t="s">
        <v>362</v>
      </c>
      <c r="HW20" s="35" t="s">
        <v>363</v>
      </c>
      <c r="HX20" s="35" t="s">
        <v>363</v>
      </c>
      <c r="HY20" s="35" t="s">
        <v>118</v>
      </c>
      <c r="HZ20" s="40">
        <v>0</v>
      </c>
      <c r="IA20" s="35" t="s">
        <v>363</v>
      </c>
      <c r="IB20" s="35" t="s">
        <v>117</v>
      </c>
      <c r="IC20" s="35" t="s">
        <v>363</v>
      </c>
      <c r="IE20" s="47">
        <v>8.895000000000001</v>
      </c>
      <c r="IF20" s="47">
        <v>8.895000000000001</v>
      </c>
      <c r="IG20" s="47">
        <v>6.984999999999999</v>
      </c>
      <c r="IH20" s="36" t="s">
        <v>15</v>
      </c>
      <c r="II20" s="36">
        <v>2</v>
      </c>
      <c r="IJ20" s="36">
        <v>2</v>
      </c>
      <c r="IK20" s="36">
        <v>1</v>
      </c>
      <c r="IL20" s="36" t="s">
        <v>15</v>
      </c>
      <c r="IM20" s="48">
        <v>6.984999999999999</v>
      </c>
      <c r="IN20" s="36" t="s">
        <v>15</v>
      </c>
      <c r="IO20" s="36" t="s">
        <v>17</v>
      </c>
      <c r="IP20" s="35" t="s">
        <v>362</v>
      </c>
      <c r="IQ20" s="35" t="s">
        <v>363</v>
      </c>
      <c r="IR20" s="35" t="s">
        <v>363</v>
      </c>
      <c r="IS20" s="35" t="s">
        <v>118</v>
      </c>
      <c r="IT20" s="40">
        <v>0</v>
      </c>
      <c r="IU20" s="35" t="s">
        <v>363</v>
      </c>
      <c r="IV20" s="35" t="s">
        <v>117</v>
      </c>
      <c r="IW20" s="35" t="s">
        <v>363</v>
      </c>
      <c r="IY20" s="47">
        <v>8.795000000000002</v>
      </c>
      <c r="IZ20" s="47">
        <v>8.795000000000002</v>
      </c>
      <c r="JA20" s="47">
        <v>6.885</v>
      </c>
      <c r="JB20" s="36" t="s">
        <v>15</v>
      </c>
      <c r="JC20" s="36">
        <v>3</v>
      </c>
      <c r="JD20" s="36">
        <v>3</v>
      </c>
      <c r="JE20" s="36">
        <v>2</v>
      </c>
      <c r="JF20" s="36" t="s">
        <v>15</v>
      </c>
      <c r="JG20" s="48">
        <v>6.885</v>
      </c>
      <c r="JH20" s="36" t="s">
        <v>15</v>
      </c>
      <c r="JI20" s="36" t="s">
        <v>17</v>
      </c>
      <c r="JJ20" s="35" t="s">
        <v>362</v>
      </c>
      <c r="JK20" s="35" t="s">
        <v>363</v>
      </c>
      <c r="JL20" s="35" t="s">
        <v>363</v>
      </c>
      <c r="JM20" s="35" t="s">
        <v>118</v>
      </c>
      <c r="JN20" s="40">
        <v>0</v>
      </c>
      <c r="JO20" s="35" t="s">
        <v>363</v>
      </c>
      <c r="JP20" s="35" t="s">
        <v>117</v>
      </c>
      <c r="JQ20" s="35" t="s">
        <v>363</v>
      </c>
      <c r="JS20" s="47">
        <v>8.695</v>
      </c>
      <c r="JT20" s="47">
        <v>8.695</v>
      </c>
      <c r="JU20" s="47">
        <v>6.784999999999999</v>
      </c>
      <c r="JV20" s="36" t="s">
        <v>15</v>
      </c>
      <c r="JW20" s="36">
        <v>4</v>
      </c>
      <c r="JX20" s="36">
        <v>4</v>
      </c>
      <c r="JY20" s="36">
        <v>3</v>
      </c>
      <c r="JZ20" s="36" t="s">
        <v>15</v>
      </c>
      <c r="KA20" s="48">
        <v>6.784999999999999</v>
      </c>
      <c r="KB20" s="36" t="s">
        <v>15</v>
      </c>
      <c r="KC20" s="36" t="s">
        <v>17</v>
      </c>
      <c r="KD20" s="35" t="s">
        <v>362</v>
      </c>
      <c r="KE20" s="35" t="s">
        <v>363</v>
      </c>
      <c r="KF20" s="35" t="s">
        <v>363</v>
      </c>
      <c r="KG20" s="35" t="s">
        <v>118</v>
      </c>
      <c r="KH20" s="40">
        <v>0</v>
      </c>
      <c r="KI20" s="35" t="s">
        <v>363</v>
      </c>
      <c r="KJ20" s="35" t="s">
        <v>117</v>
      </c>
      <c r="KK20" s="35" t="s">
        <v>363</v>
      </c>
      <c r="KM20" s="47">
        <v>8.595</v>
      </c>
      <c r="KN20" s="47">
        <v>8.595</v>
      </c>
      <c r="KO20" s="47">
        <v>6.685</v>
      </c>
      <c r="KP20" s="36" t="s">
        <v>15</v>
      </c>
      <c r="KQ20" s="36">
        <v>5</v>
      </c>
      <c r="KR20" s="36">
        <v>5</v>
      </c>
      <c r="KS20" s="36">
        <v>4</v>
      </c>
      <c r="KT20" s="36" t="s">
        <v>15</v>
      </c>
      <c r="KU20" s="48">
        <v>6.685</v>
      </c>
      <c r="KV20" s="36" t="s">
        <v>15</v>
      </c>
      <c r="KW20" s="36" t="s">
        <v>17</v>
      </c>
      <c r="KX20" s="35" t="s">
        <v>362</v>
      </c>
      <c r="KY20" s="35" t="s">
        <v>363</v>
      </c>
      <c r="KZ20" s="35" t="s">
        <v>363</v>
      </c>
      <c r="LA20" s="35" t="s">
        <v>118</v>
      </c>
      <c r="LB20" s="40">
        <v>0</v>
      </c>
      <c r="LC20" s="35" t="s">
        <v>363</v>
      </c>
      <c r="LD20" s="35" t="s">
        <v>117</v>
      </c>
      <c r="LE20" s="35" t="s">
        <v>363</v>
      </c>
    </row>
    <row r="21">
      <c r="A21" s="0" t="s">
        <v>341</v>
      </c>
      <c r="B21" s="6" t="s">
        <v>342</v>
      </c>
      <c r="C21" s="0" t="s">
        <v>432</v>
      </c>
      <c r="D21" s="6">
        <v>30050</v>
      </c>
      <c r="E21" s="6" t="s">
        <v>344</v>
      </c>
      <c r="F21" s="0" t="s">
        <v>345</v>
      </c>
      <c r="G21" s="0" t="s">
        <v>40</v>
      </c>
      <c r="H21" s="6" t="s">
        <v>346</v>
      </c>
      <c r="I21" s="0" t="s">
        <v>347</v>
      </c>
      <c r="K21" s="0" t="s">
        <v>422</v>
      </c>
      <c r="L21" s="0" t="s">
        <v>433</v>
      </c>
      <c r="M21" s="0" t="s">
        <v>434</v>
      </c>
      <c r="N21" s="0" t="s">
        <v>351</v>
      </c>
      <c r="O21" s="33">
        <v>75</v>
      </c>
      <c r="P21" s="33">
        <v>1822.5</v>
      </c>
      <c r="Q21" s="6" t="s">
        <v>15</v>
      </c>
      <c r="R21" s="0" t="s">
        <v>352</v>
      </c>
      <c r="S21" s="6" t="s">
        <v>368</v>
      </c>
      <c r="T21" s="0" t="s">
        <v>369</v>
      </c>
      <c r="U21" s="6" t="s">
        <v>15</v>
      </c>
      <c r="V21" s="6" t="s">
        <v>15</v>
      </c>
      <c r="W21" s="0" t="s">
        <v>62</v>
      </c>
      <c r="X21" s="6" t="s">
        <v>15</v>
      </c>
      <c r="Y21" s="6" t="s">
        <v>17</v>
      </c>
      <c r="Z21" s="34" t="s">
        <v>39</v>
      </c>
      <c r="AA21" s="6" t="s">
        <v>15</v>
      </c>
      <c r="AB21" s="0" t="s">
        <v>354</v>
      </c>
      <c r="AC21" s="6">
        <v>6</v>
      </c>
      <c r="AD21" s="6" t="s">
        <v>15</v>
      </c>
      <c r="AE21" s="6" t="s">
        <v>15</v>
      </c>
      <c r="AF21" s="6">
        <v>1956</v>
      </c>
      <c r="AG21" s="6">
        <v>71</v>
      </c>
      <c r="AH21" s="33">
        <v>300</v>
      </c>
      <c r="AI21" s="33">
        <v>739</v>
      </c>
      <c r="AJ21" s="33">
        <v>5</v>
      </c>
      <c r="AK21" s="6" t="s">
        <v>355</v>
      </c>
      <c r="AL21" s="33">
        <v>17</v>
      </c>
      <c r="AM21" s="0" t="s">
        <v>15</v>
      </c>
      <c r="AN21" s="0" t="s">
        <v>359</v>
      </c>
      <c r="AO21" s="6" t="s">
        <v>356</v>
      </c>
      <c r="AP21" s="6" t="s">
        <v>15</v>
      </c>
      <c r="AQ21" s="0" t="s">
        <v>357</v>
      </c>
      <c r="AR21" s="6" t="s">
        <v>15</v>
      </c>
      <c r="AS21" s="6" t="s">
        <v>15</v>
      </c>
      <c r="AT21" s="6" t="s">
        <v>17</v>
      </c>
      <c r="AU21" s="6" t="s">
        <v>15</v>
      </c>
      <c r="AV21" s="6" t="s">
        <v>17</v>
      </c>
      <c r="AW21" s="6" t="s">
        <v>15</v>
      </c>
      <c r="AX21" s="43" t="s">
        <v>359</v>
      </c>
      <c r="AY21" s="44">
        <v>0</v>
      </c>
      <c r="AZ21" s="43" t="s">
        <v>383</v>
      </c>
      <c r="BA21" s="44">
        <v>2064892.5</v>
      </c>
      <c r="BB21" s="43" t="s">
        <v>359</v>
      </c>
      <c r="BC21" s="44">
        <v>0</v>
      </c>
      <c r="BD21" s="43" t="s">
        <v>359</v>
      </c>
      <c r="BE21" s="44">
        <v>0</v>
      </c>
      <c r="BF21" s="43" t="s">
        <v>359</v>
      </c>
      <c r="BG21" s="44">
        <v>0</v>
      </c>
      <c r="BH21" s="43" t="s">
        <v>359</v>
      </c>
      <c r="BI21" s="44">
        <v>0</v>
      </c>
      <c r="BJ21" s="43" t="s">
        <v>359</v>
      </c>
      <c r="BK21" s="44">
        <v>0</v>
      </c>
      <c r="BL21" s="43" t="s">
        <v>359</v>
      </c>
      <c r="BM21" s="44">
        <v>0</v>
      </c>
      <c r="BN21" s="43" t="s">
        <v>359</v>
      </c>
      <c r="BO21" s="44">
        <v>0</v>
      </c>
      <c r="BP21" s="43" t="s">
        <v>359</v>
      </c>
      <c r="BQ21" s="44">
        <v>0</v>
      </c>
      <c r="BR21" s="43" t="s">
        <v>359</v>
      </c>
      <c r="BS21" s="44">
        <v>0</v>
      </c>
      <c r="BT21" s="6" t="s">
        <v>360</v>
      </c>
      <c r="BU21" s="6" t="s">
        <v>359</v>
      </c>
      <c r="BW21" s="0" t="s">
        <v>359</v>
      </c>
      <c r="BX21" s="0" t="s">
        <v>361</v>
      </c>
      <c r="BY21" s="0" t="s">
        <v>359</v>
      </c>
      <c r="BZ21" s="0" t="s">
        <v>359</v>
      </c>
      <c r="CA21" s="0" t="s">
        <v>359</v>
      </c>
      <c r="CB21" s="0" t="s">
        <v>359</v>
      </c>
      <c r="CC21" s="0" t="s">
        <v>359</v>
      </c>
      <c r="CD21" s="0" t="s">
        <v>359</v>
      </c>
      <c r="CE21" s="0" t="s">
        <v>359</v>
      </c>
      <c r="CF21" s="0" t="s">
        <v>359</v>
      </c>
      <c r="CG21" s="0" t="s">
        <v>359</v>
      </c>
      <c r="CI21" s="46">
        <v>4.287</v>
      </c>
      <c r="CJ21" s="46">
        <v>4.300000000000001</v>
      </c>
      <c r="CK21" s="46">
        <v>4.726999999999999</v>
      </c>
      <c r="CL21" s="6" t="s">
        <v>15</v>
      </c>
      <c r="CM21" s="6">
        <v>12</v>
      </c>
      <c r="CN21" s="6">
        <v>12</v>
      </c>
      <c r="CO21" s="6">
        <v>3</v>
      </c>
      <c r="CP21" s="6" t="s">
        <v>15</v>
      </c>
      <c r="CQ21" s="45">
        <v>4.287</v>
      </c>
      <c r="CR21" s="6" t="s">
        <v>17</v>
      </c>
      <c r="CS21" s="6" t="s">
        <v>17</v>
      </c>
      <c r="CU21" s="46">
        <v>4.287</v>
      </c>
      <c r="CV21" s="46">
        <v>4.300000000000001</v>
      </c>
      <c r="CW21" s="46">
        <v>4.726999999999999</v>
      </c>
      <c r="CX21" s="6" t="s">
        <v>15</v>
      </c>
      <c r="CY21" s="6">
        <v>12</v>
      </c>
      <c r="CZ21" s="6">
        <v>12</v>
      </c>
      <c r="DA21" s="6">
        <v>3</v>
      </c>
      <c r="DB21" s="6" t="s">
        <v>15</v>
      </c>
      <c r="DC21" s="45">
        <v>4.287</v>
      </c>
      <c r="DD21" s="6" t="s">
        <v>17</v>
      </c>
      <c r="DE21" s="6" t="s">
        <v>17</v>
      </c>
      <c r="DF21" s="0" t="s">
        <v>362</v>
      </c>
      <c r="DG21" s="0" t="s">
        <v>363</v>
      </c>
      <c r="DH21" s="0" t="s">
        <v>363</v>
      </c>
      <c r="DI21" s="0" t="s">
        <v>118</v>
      </c>
      <c r="DJ21" s="39">
        <v>0</v>
      </c>
      <c r="DK21" s="0" t="s">
        <v>363</v>
      </c>
      <c r="DL21" s="0" t="s">
        <v>117</v>
      </c>
      <c r="DM21" s="0" t="s">
        <v>363</v>
      </c>
      <c r="DO21" s="46">
        <v>9.99</v>
      </c>
      <c r="DP21" s="46">
        <v>9.99</v>
      </c>
      <c r="DQ21" s="46">
        <v>9.99</v>
      </c>
      <c r="DR21" s="6" t="s">
        <v>15</v>
      </c>
      <c r="DS21" s="6">
        <v>1</v>
      </c>
      <c r="DT21" s="6">
        <v>1</v>
      </c>
      <c r="DU21" s="6">
        <v>1</v>
      </c>
      <c r="DV21" s="6" t="s">
        <v>15</v>
      </c>
      <c r="DW21" s="45">
        <v>9.99</v>
      </c>
      <c r="DX21" s="6" t="s">
        <v>15</v>
      </c>
      <c r="DY21" s="6" t="s">
        <v>17</v>
      </c>
      <c r="DZ21" s="0" t="s">
        <v>362</v>
      </c>
      <c r="EA21" s="0" t="s">
        <v>363</v>
      </c>
      <c r="EB21" s="0" t="s">
        <v>136</v>
      </c>
      <c r="EC21" s="0" t="s">
        <v>108</v>
      </c>
      <c r="ED21" s="39">
        <v>2064892.5</v>
      </c>
      <c r="EE21" s="0" t="s">
        <v>363</v>
      </c>
      <c r="EF21" s="0" t="s">
        <v>124</v>
      </c>
      <c r="EG21" s="0" t="s">
        <v>363</v>
      </c>
      <c r="EI21" s="46">
        <v>9.790000000000001</v>
      </c>
      <c r="EJ21" s="46">
        <v>9.790000000000001</v>
      </c>
      <c r="EK21" s="46">
        <v>9.790000000000001</v>
      </c>
      <c r="EL21" s="6" t="s">
        <v>15</v>
      </c>
      <c r="EM21" s="6">
        <v>2</v>
      </c>
      <c r="EN21" s="6">
        <v>2</v>
      </c>
      <c r="EO21" s="6">
        <v>2</v>
      </c>
      <c r="EP21" s="6" t="s">
        <v>15</v>
      </c>
      <c r="EQ21" s="45">
        <v>9.790000000000001</v>
      </c>
      <c r="ER21" s="6" t="s">
        <v>15</v>
      </c>
      <c r="ES21" s="6" t="s">
        <v>17</v>
      </c>
      <c r="ET21" s="0" t="s">
        <v>362</v>
      </c>
      <c r="EU21" s="0" t="s">
        <v>363</v>
      </c>
      <c r="EV21" s="0" t="s">
        <v>363</v>
      </c>
      <c r="EW21" s="0" t="s">
        <v>118</v>
      </c>
      <c r="EX21" s="39">
        <v>0</v>
      </c>
      <c r="EY21" s="0" t="s">
        <v>363</v>
      </c>
      <c r="EZ21" s="0" t="s">
        <v>117</v>
      </c>
      <c r="FA21" s="0" t="s">
        <v>363</v>
      </c>
      <c r="FC21" s="46">
        <v>9.59</v>
      </c>
      <c r="FD21" s="46">
        <v>9.59</v>
      </c>
      <c r="FE21" s="46">
        <v>9.59</v>
      </c>
      <c r="FF21" s="6" t="s">
        <v>15</v>
      </c>
      <c r="FG21" s="6">
        <v>3</v>
      </c>
      <c r="FH21" s="6">
        <v>3</v>
      </c>
      <c r="FI21" s="6">
        <v>3</v>
      </c>
      <c r="FJ21" s="6" t="s">
        <v>15</v>
      </c>
      <c r="FK21" s="45">
        <v>9.59</v>
      </c>
      <c r="FL21" s="6" t="s">
        <v>15</v>
      </c>
      <c r="FM21" s="6" t="s">
        <v>17</v>
      </c>
      <c r="FN21" s="0" t="s">
        <v>362</v>
      </c>
      <c r="FO21" s="0" t="s">
        <v>363</v>
      </c>
      <c r="FP21" s="0" t="s">
        <v>363</v>
      </c>
      <c r="FQ21" s="0" t="s">
        <v>118</v>
      </c>
      <c r="FR21" s="39">
        <v>0</v>
      </c>
      <c r="FS21" s="0" t="s">
        <v>363</v>
      </c>
      <c r="FT21" s="0" t="s">
        <v>117</v>
      </c>
      <c r="FU21" s="0" t="s">
        <v>363</v>
      </c>
      <c r="FW21" s="46">
        <v>9.39</v>
      </c>
      <c r="FX21" s="46">
        <v>9.39</v>
      </c>
      <c r="FY21" s="46">
        <v>9.39</v>
      </c>
      <c r="FZ21" s="6" t="s">
        <v>15</v>
      </c>
      <c r="GA21" s="6">
        <v>4</v>
      </c>
      <c r="GB21" s="6">
        <v>4</v>
      </c>
      <c r="GC21" s="6">
        <v>4</v>
      </c>
      <c r="GD21" s="6" t="s">
        <v>15</v>
      </c>
      <c r="GE21" s="45">
        <v>9.39</v>
      </c>
      <c r="GF21" s="6" t="s">
        <v>15</v>
      </c>
      <c r="GG21" s="6" t="s">
        <v>17</v>
      </c>
      <c r="GH21" s="0" t="s">
        <v>362</v>
      </c>
      <c r="GI21" s="0" t="s">
        <v>363</v>
      </c>
      <c r="GJ21" s="0" t="s">
        <v>363</v>
      </c>
      <c r="GK21" s="0" t="s">
        <v>118</v>
      </c>
      <c r="GL21" s="39">
        <v>0</v>
      </c>
      <c r="GM21" s="0" t="s">
        <v>363</v>
      </c>
      <c r="GN21" s="0" t="s">
        <v>117</v>
      </c>
      <c r="GO21" s="0" t="s">
        <v>363</v>
      </c>
      <c r="GQ21" s="46">
        <v>9.19</v>
      </c>
      <c r="GR21" s="46">
        <v>9.19</v>
      </c>
      <c r="GS21" s="46">
        <v>9.19</v>
      </c>
      <c r="GT21" s="6" t="s">
        <v>15</v>
      </c>
      <c r="GU21" s="6">
        <v>5</v>
      </c>
      <c r="GV21" s="6">
        <v>5</v>
      </c>
      <c r="GW21" s="6">
        <v>5</v>
      </c>
      <c r="GX21" s="6" t="s">
        <v>15</v>
      </c>
      <c r="GY21" s="45">
        <v>9.19</v>
      </c>
      <c r="GZ21" s="6" t="s">
        <v>15</v>
      </c>
      <c r="HA21" s="6" t="s">
        <v>17</v>
      </c>
      <c r="HB21" s="0" t="s">
        <v>362</v>
      </c>
      <c r="HC21" s="0" t="s">
        <v>363</v>
      </c>
      <c r="HD21" s="0" t="s">
        <v>363</v>
      </c>
      <c r="HE21" s="0" t="s">
        <v>118</v>
      </c>
      <c r="HF21" s="39">
        <v>0</v>
      </c>
      <c r="HG21" s="0" t="s">
        <v>363</v>
      </c>
      <c r="HH21" s="0" t="s">
        <v>117</v>
      </c>
      <c r="HI21" s="0" t="s">
        <v>363</v>
      </c>
      <c r="HK21" s="46">
        <v>8.99375</v>
      </c>
      <c r="HL21" s="46">
        <v>8.99685</v>
      </c>
      <c r="HM21" s="46">
        <v>8.99685</v>
      </c>
      <c r="HN21" s="6" t="s">
        <v>15</v>
      </c>
      <c r="HO21" s="6">
        <v>1</v>
      </c>
      <c r="HP21" s="6">
        <v>1</v>
      </c>
      <c r="HQ21" s="6">
        <v>1</v>
      </c>
      <c r="HR21" s="6" t="s">
        <v>15</v>
      </c>
      <c r="HS21" s="45">
        <v>8.99375</v>
      </c>
      <c r="HT21" s="6" t="s">
        <v>15</v>
      </c>
      <c r="HU21" s="6" t="s">
        <v>17</v>
      </c>
      <c r="HV21" s="0" t="s">
        <v>362</v>
      </c>
      <c r="HW21" s="0" t="s">
        <v>363</v>
      </c>
      <c r="HX21" s="0" t="s">
        <v>363</v>
      </c>
      <c r="HY21" s="0" t="s">
        <v>118</v>
      </c>
      <c r="HZ21" s="39">
        <v>0</v>
      </c>
      <c r="IA21" s="0" t="s">
        <v>363</v>
      </c>
      <c r="IB21" s="0" t="s">
        <v>117</v>
      </c>
      <c r="IC21" s="0" t="s">
        <v>363</v>
      </c>
      <c r="IE21" s="46">
        <v>8.86875</v>
      </c>
      <c r="IF21" s="46">
        <v>8.93385</v>
      </c>
      <c r="IG21" s="46">
        <v>8.93385</v>
      </c>
      <c r="IH21" s="6" t="s">
        <v>15</v>
      </c>
      <c r="II21" s="6">
        <v>2</v>
      </c>
      <c r="IJ21" s="6">
        <v>2</v>
      </c>
      <c r="IK21" s="6">
        <v>2</v>
      </c>
      <c r="IL21" s="6" t="s">
        <v>15</v>
      </c>
      <c r="IM21" s="45">
        <v>8.86875</v>
      </c>
      <c r="IN21" s="6" t="s">
        <v>15</v>
      </c>
      <c r="IO21" s="6" t="s">
        <v>17</v>
      </c>
      <c r="IP21" s="0" t="s">
        <v>362</v>
      </c>
      <c r="IQ21" s="0" t="s">
        <v>363</v>
      </c>
      <c r="IR21" s="0" t="s">
        <v>363</v>
      </c>
      <c r="IS21" s="0" t="s">
        <v>118</v>
      </c>
      <c r="IT21" s="39">
        <v>0</v>
      </c>
      <c r="IU21" s="0" t="s">
        <v>363</v>
      </c>
      <c r="IV21" s="0" t="s">
        <v>117</v>
      </c>
      <c r="IW21" s="0" t="s">
        <v>363</v>
      </c>
      <c r="IY21" s="46">
        <v>8.74375</v>
      </c>
      <c r="IZ21" s="46">
        <v>8.87085</v>
      </c>
      <c r="JA21" s="46">
        <v>8.87085</v>
      </c>
      <c r="JB21" s="6" t="s">
        <v>15</v>
      </c>
      <c r="JC21" s="6">
        <v>3</v>
      </c>
      <c r="JD21" s="6">
        <v>3</v>
      </c>
      <c r="JE21" s="6">
        <v>3</v>
      </c>
      <c r="JF21" s="6" t="s">
        <v>15</v>
      </c>
      <c r="JG21" s="45">
        <v>8.74375</v>
      </c>
      <c r="JH21" s="6" t="s">
        <v>15</v>
      </c>
      <c r="JI21" s="6" t="s">
        <v>17</v>
      </c>
      <c r="JJ21" s="0" t="s">
        <v>362</v>
      </c>
      <c r="JK21" s="0" t="s">
        <v>363</v>
      </c>
      <c r="JL21" s="0" t="s">
        <v>363</v>
      </c>
      <c r="JM21" s="0" t="s">
        <v>118</v>
      </c>
      <c r="JN21" s="39">
        <v>0</v>
      </c>
      <c r="JO21" s="0" t="s">
        <v>363</v>
      </c>
      <c r="JP21" s="0" t="s">
        <v>117</v>
      </c>
      <c r="JQ21" s="0" t="s">
        <v>363</v>
      </c>
      <c r="JS21" s="46">
        <v>8.61875</v>
      </c>
      <c r="JT21" s="46">
        <v>8.80785</v>
      </c>
      <c r="JU21" s="46">
        <v>8.80785</v>
      </c>
      <c r="JV21" s="6" t="s">
        <v>15</v>
      </c>
      <c r="JW21" s="6">
        <v>4</v>
      </c>
      <c r="JX21" s="6">
        <v>4</v>
      </c>
      <c r="JY21" s="6">
        <v>4</v>
      </c>
      <c r="JZ21" s="6" t="s">
        <v>15</v>
      </c>
      <c r="KA21" s="45">
        <v>8.61875</v>
      </c>
      <c r="KB21" s="6" t="s">
        <v>15</v>
      </c>
      <c r="KC21" s="6" t="s">
        <v>17</v>
      </c>
      <c r="KD21" s="0" t="s">
        <v>362</v>
      </c>
      <c r="KE21" s="0" t="s">
        <v>363</v>
      </c>
      <c r="KF21" s="0" t="s">
        <v>363</v>
      </c>
      <c r="KG21" s="0" t="s">
        <v>118</v>
      </c>
      <c r="KH21" s="39">
        <v>0</v>
      </c>
      <c r="KI21" s="0" t="s">
        <v>363</v>
      </c>
      <c r="KJ21" s="0" t="s">
        <v>117</v>
      </c>
      <c r="KK21" s="0" t="s">
        <v>363</v>
      </c>
      <c r="KM21" s="46">
        <v>8.49375</v>
      </c>
      <c r="KN21" s="46">
        <v>8.74485</v>
      </c>
      <c r="KO21" s="46">
        <v>8.74485</v>
      </c>
      <c r="KP21" s="6" t="s">
        <v>15</v>
      </c>
      <c r="KQ21" s="6">
        <v>5</v>
      </c>
      <c r="KR21" s="6">
        <v>5</v>
      </c>
      <c r="KS21" s="6">
        <v>5</v>
      </c>
      <c r="KT21" s="6" t="s">
        <v>15</v>
      </c>
      <c r="KU21" s="45">
        <v>8.49375</v>
      </c>
      <c r="KV21" s="6" t="s">
        <v>15</v>
      </c>
      <c r="KW21" s="6" t="s">
        <v>17</v>
      </c>
      <c r="KX21" s="0" t="s">
        <v>362</v>
      </c>
      <c r="KY21" s="0" t="s">
        <v>363</v>
      </c>
      <c r="KZ21" s="0" t="s">
        <v>363</v>
      </c>
      <c r="LA21" s="0" t="s">
        <v>118</v>
      </c>
      <c r="LB21" s="39">
        <v>0</v>
      </c>
      <c r="LC21" s="0" t="s">
        <v>363</v>
      </c>
      <c r="LD21" s="0" t="s">
        <v>117</v>
      </c>
      <c r="LE21" s="0" t="s">
        <v>363</v>
      </c>
    </row>
    <row r="22">
      <c r="A22" s="35" t="s">
        <v>341</v>
      </c>
      <c r="B22" s="36" t="s">
        <v>342</v>
      </c>
      <c r="C22" s="35" t="s">
        <v>435</v>
      </c>
      <c r="D22" s="36">
        <v>30059</v>
      </c>
      <c r="E22" s="36" t="s">
        <v>344</v>
      </c>
      <c r="F22" s="35" t="s">
        <v>345</v>
      </c>
      <c r="G22" s="35" t="s">
        <v>45</v>
      </c>
      <c r="H22" s="36" t="s">
        <v>436</v>
      </c>
      <c r="I22" s="35" t="s">
        <v>347</v>
      </c>
      <c r="J22" s="35"/>
      <c r="K22" s="35" t="s">
        <v>437</v>
      </c>
      <c r="L22" s="35" t="s">
        <v>438</v>
      </c>
      <c r="M22" s="35" t="s">
        <v>439</v>
      </c>
      <c r="N22" s="35" t="s">
        <v>377</v>
      </c>
      <c r="O22" s="37">
        <v>29</v>
      </c>
      <c r="P22" s="37">
        <v>696</v>
      </c>
      <c r="Q22" s="36" t="s">
        <v>15</v>
      </c>
      <c r="R22" s="35" t="s">
        <v>352</v>
      </c>
      <c r="S22" s="36" t="s">
        <v>368</v>
      </c>
      <c r="T22" s="35" t="s">
        <v>369</v>
      </c>
      <c r="U22" s="36" t="s">
        <v>15</v>
      </c>
      <c r="V22" s="36" t="s">
        <v>15</v>
      </c>
      <c r="W22" s="35" t="s">
        <v>62</v>
      </c>
      <c r="X22" s="36" t="s">
        <v>15</v>
      </c>
      <c r="Y22" s="36" t="s">
        <v>17</v>
      </c>
      <c r="Z22" s="38" t="s">
        <v>39</v>
      </c>
      <c r="AA22" s="36" t="s">
        <v>15</v>
      </c>
      <c r="AB22" s="35" t="s">
        <v>354</v>
      </c>
      <c r="AC22" s="36">
        <v>6</v>
      </c>
      <c r="AD22" s="36" t="s">
        <v>15</v>
      </c>
      <c r="AE22" s="36" t="s">
        <v>15</v>
      </c>
      <c r="AF22" s="36">
        <v>1958</v>
      </c>
      <c r="AG22" s="36">
        <v>69</v>
      </c>
      <c r="AH22" s="37">
        <v>50</v>
      </c>
      <c r="AI22" s="37">
        <v>280</v>
      </c>
      <c r="AJ22" s="37">
        <v>25</v>
      </c>
      <c r="AK22" s="36" t="s">
        <v>355</v>
      </c>
      <c r="AL22" s="37">
        <v>57</v>
      </c>
      <c r="AM22" s="35" t="s">
        <v>15</v>
      </c>
      <c r="AN22" s="35" t="s">
        <v>359</v>
      </c>
      <c r="AO22" s="36" t="s">
        <v>36</v>
      </c>
      <c r="AP22" s="36" t="s">
        <v>15</v>
      </c>
      <c r="AQ22" s="35" t="s">
        <v>357</v>
      </c>
      <c r="AR22" s="36" t="s">
        <v>15</v>
      </c>
      <c r="AS22" s="36" t="s">
        <v>15</v>
      </c>
      <c r="AT22" s="36" t="s">
        <v>17</v>
      </c>
      <c r="AU22" s="36" t="s">
        <v>15</v>
      </c>
      <c r="AV22" s="36" t="s">
        <v>17</v>
      </c>
      <c r="AW22" s="36" t="s">
        <v>15</v>
      </c>
      <c r="AX22" s="41" t="s">
        <v>358</v>
      </c>
      <c r="AY22" s="42">
        <v>1183200</v>
      </c>
      <c r="AZ22" s="41" t="s">
        <v>359</v>
      </c>
      <c r="BA22" s="42">
        <v>0</v>
      </c>
      <c r="BB22" s="41" t="s">
        <v>359</v>
      </c>
      <c r="BC22" s="42">
        <v>0</v>
      </c>
      <c r="BD22" s="41" t="s">
        <v>359</v>
      </c>
      <c r="BE22" s="42">
        <v>0</v>
      </c>
      <c r="BF22" s="41" t="s">
        <v>359</v>
      </c>
      <c r="BG22" s="42">
        <v>0</v>
      </c>
      <c r="BH22" s="41" t="s">
        <v>359</v>
      </c>
      <c r="BI22" s="42">
        <v>0</v>
      </c>
      <c r="BJ22" s="41" t="s">
        <v>359</v>
      </c>
      <c r="BK22" s="42">
        <v>0</v>
      </c>
      <c r="BL22" s="41" t="s">
        <v>359</v>
      </c>
      <c r="BM22" s="42">
        <v>0</v>
      </c>
      <c r="BN22" s="41" t="s">
        <v>359</v>
      </c>
      <c r="BO22" s="42">
        <v>0</v>
      </c>
      <c r="BP22" s="41" t="s">
        <v>359</v>
      </c>
      <c r="BQ22" s="42">
        <v>0</v>
      </c>
      <c r="BR22" s="41" t="s">
        <v>359</v>
      </c>
      <c r="BS22" s="42">
        <v>0</v>
      </c>
      <c r="BT22" s="36" t="s">
        <v>360</v>
      </c>
      <c r="BU22" s="36" t="s">
        <v>359</v>
      </c>
      <c r="BV22" s="35"/>
      <c r="BW22" s="35" t="s">
        <v>361</v>
      </c>
      <c r="BX22" s="35" t="s">
        <v>359</v>
      </c>
      <c r="BY22" s="35" t="s">
        <v>359</v>
      </c>
      <c r="BZ22" s="35" t="s">
        <v>359</v>
      </c>
      <c r="CA22" s="35" t="s">
        <v>359</v>
      </c>
      <c r="CB22" s="35" t="s">
        <v>359</v>
      </c>
      <c r="CC22" s="35" t="s">
        <v>359</v>
      </c>
      <c r="CD22" s="35" t="s">
        <v>359</v>
      </c>
      <c r="CE22" s="35" t="s">
        <v>359</v>
      </c>
      <c r="CF22" s="35" t="s">
        <v>359</v>
      </c>
      <c r="CG22" s="35" t="s">
        <v>359</v>
      </c>
      <c r="CI22" s="47">
        <v>4.286</v>
      </c>
      <c r="CJ22" s="47">
        <v>4.313000000000001</v>
      </c>
      <c r="CK22" s="47">
        <v>7.063</v>
      </c>
      <c r="CL22" s="36" t="s">
        <v>15</v>
      </c>
      <c r="CM22" s="36">
        <v>12</v>
      </c>
      <c r="CN22" s="36">
        <v>12</v>
      </c>
      <c r="CO22" s="36">
        <v>40</v>
      </c>
      <c r="CP22" s="36" t="s">
        <v>15</v>
      </c>
      <c r="CQ22" s="48">
        <v>4.286</v>
      </c>
      <c r="CR22" s="36" t="s">
        <v>17</v>
      </c>
      <c r="CS22" s="36" t="s">
        <v>17</v>
      </c>
      <c r="CU22" s="47">
        <v>9.99</v>
      </c>
      <c r="CV22" s="47">
        <v>9.99</v>
      </c>
      <c r="CW22" s="47">
        <v>9.99</v>
      </c>
      <c r="CX22" s="36" t="s">
        <v>15</v>
      </c>
      <c r="CY22" s="36">
        <v>1</v>
      </c>
      <c r="CZ22" s="36">
        <v>1</v>
      </c>
      <c r="DA22" s="36">
        <v>1</v>
      </c>
      <c r="DB22" s="36" t="s">
        <v>15</v>
      </c>
      <c r="DC22" s="48">
        <v>9.99</v>
      </c>
      <c r="DD22" s="36" t="s">
        <v>15</v>
      </c>
      <c r="DE22" s="36" t="s">
        <v>17</v>
      </c>
      <c r="DF22" s="35" t="s">
        <v>362</v>
      </c>
      <c r="DG22" s="35" t="s">
        <v>363</v>
      </c>
      <c r="DH22" s="35" t="s">
        <v>136</v>
      </c>
      <c r="DI22" s="35" t="s">
        <v>110</v>
      </c>
      <c r="DJ22" s="40">
        <v>1183200</v>
      </c>
      <c r="DK22" s="35" t="s">
        <v>363</v>
      </c>
      <c r="DL22" s="35" t="s">
        <v>124</v>
      </c>
      <c r="DM22" s="35" t="s">
        <v>363</v>
      </c>
      <c r="DO22" s="47">
        <v>9.790000000000001</v>
      </c>
      <c r="DP22" s="47">
        <v>9.790000000000001</v>
      </c>
      <c r="DQ22" s="47">
        <v>9.790000000000001</v>
      </c>
      <c r="DR22" s="36" t="s">
        <v>15</v>
      </c>
      <c r="DS22" s="36">
        <v>2</v>
      </c>
      <c r="DT22" s="36">
        <v>2</v>
      </c>
      <c r="DU22" s="36">
        <v>2</v>
      </c>
      <c r="DV22" s="36" t="s">
        <v>15</v>
      </c>
      <c r="DW22" s="48">
        <v>9.790000000000001</v>
      </c>
      <c r="DX22" s="36" t="s">
        <v>15</v>
      </c>
      <c r="DY22" s="36" t="s">
        <v>17</v>
      </c>
      <c r="DZ22" s="35" t="s">
        <v>362</v>
      </c>
      <c r="EA22" s="35" t="s">
        <v>363</v>
      </c>
      <c r="EB22" s="35" t="s">
        <v>363</v>
      </c>
      <c r="EC22" s="35" t="s">
        <v>118</v>
      </c>
      <c r="ED22" s="40">
        <v>0</v>
      </c>
      <c r="EE22" s="35" t="s">
        <v>363</v>
      </c>
      <c r="EF22" s="35" t="s">
        <v>117</v>
      </c>
      <c r="EG22" s="35" t="s">
        <v>363</v>
      </c>
      <c r="EI22" s="47">
        <v>9.59</v>
      </c>
      <c r="EJ22" s="47">
        <v>9.59</v>
      </c>
      <c r="EK22" s="47">
        <v>9.59</v>
      </c>
      <c r="EL22" s="36" t="s">
        <v>15</v>
      </c>
      <c r="EM22" s="36">
        <v>3</v>
      </c>
      <c r="EN22" s="36">
        <v>3</v>
      </c>
      <c r="EO22" s="36">
        <v>3</v>
      </c>
      <c r="EP22" s="36" t="s">
        <v>15</v>
      </c>
      <c r="EQ22" s="48">
        <v>9.59</v>
      </c>
      <c r="ER22" s="36" t="s">
        <v>15</v>
      </c>
      <c r="ES22" s="36" t="s">
        <v>17</v>
      </c>
      <c r="ET22" s="35" t="s">
        <v>362</v>
      </c>
      <c r="EU22" s="35" t="s">
        <v>363</v>
      </c>
      <c r="EV22" s="35" t="s">
        <v>363</v>
      </c>
      <c r="EW22" s="35" t="s">
        <v>118</v>
      </c>
      <c r="EX22" s="40">
        <v>0</v>
      </c>
      <c r="EY22" s="35" t="s">
        <v>363</v>
      </c>
      <c r="EZ22" s="35" t="s">
        <v>117</v>
      </c>
      <c r="FA22" s="35" t="s">
        <v>363</v>
      </c>
      <c r="FC22" s="47">
        <v>9.39</v>
      </c>
      <c r="FD22" s="47">
        <v>9.39</v>
      </c>
      <c r="FE22" s="47">
        <v>9.39</v>
      </c>
      <c r="FF22" s="36" t="s">
        <v>15</v>
      </c>
      <c r="FG22" s="36">
        <v>4</v>
      </c>
      <c r="FH22" s="36">
        <v>4</v>
      </c>
      <c r="FI22" s="36">
        <v>4</v>
      </c>
      <c r="FJ22" s="36" t="s">
        <v>15</v>
      </c>
      <c r="FK22" s="48">
        <v>9.39</v>
      </c>
      <c r="FL22" s="36" t="s">
        <v>15</v>
      </c>
      <c r="FM22" s="36" t="s">
        <v>17</v>
      </c>
      <c r="FN22" s="35" t="s">
        <v>362</v>
      </c>
      <c r="FO22" s="35" t="s">
        <v>363</v>
      </c>
      <c r="FP22" s="35" t="s">
        <v>363</v>
      </c>
      <c r="FQ22" s="35" t="s">
        <v>118</v>
      </c>
      <c r="FR22" s="40">
        <v>0</v>
      </c>
      <c r="FS22" s="35" t="s">
        <v>363</v>
      </c>
      <c r="FT22" s="35" t="s">
        <v>117</v>
      </c>
      <c r="FU22" s="35" t="s">
        <v>363</v>
      </c>
      <c r="FW22" s="47">
        <v>9.19</v>
      </c>
      <c r="FX22" s="47">
        <v>9.19</v>
      </c>
      <c r="FY22" s="47">
        <v>9.19</v>
      </c>
      <c r="FZ22" s="36" t="s">
        <v>15</v>
      </c>
      <c r="GA22" s="36">
        <v>5</v>
      </c>
      <c r="GB22" s="36">
        <v>5</v>
      </c>
      <c r="GC22" s="36">
        <v>5</v>
      </c>
      <c r="GD22" s="36" t="s">
        <v>15</v>
      </c>
      <c r="GE22" s="48">
        <v>9.19</v>
      </c>
      <c r="GF22" s="36" t="s">
        <v>15</v>
      </c>
      <c r="GG22" s="36" t="s">
        <v>17</v>
      </c>
      <c r="GH22" s="35" t="s">
        <v>362</v>
      </c>
      <c r="GI22" s="35" t="s">
        <v>363</v>
      </c>
      <c r="GJ22" s="35" t="s">
        <v>363</v>
      </c>
      <c r="GK22" s="35" t="s">
        <v>118</v>
      </c>
      <c r="GL22" s="40">
        <v>0</v>
      </c>
      <c r="GM22" s="35" t="s">
        <v>363</v>
      </c>
      <c r="GN22" s="35" t="s">
        <v>117</v>
      </c>
      <c r="GO22" s="35" t="s">
        <v>363</v>
      </c>
      <c r="GQ22" s="47">
        <v>8.99375</v>
      </c>
      <c r="GR22" s="47">
        <v>8.99685</v>
      </c>
      <c r="GS22" s="47">
        <v>8.99685</v>
      </c>
      <c r="GT22" s="36" t="s">
        <v>15</v>
      </c>
      <c r="GU22" s="36">
        <v>1</v>
      </c>
      <c r="GV22" s="36">
        <v>1</v>
      </c>
      <c r="GW22" s="36">
        <v>1</v>
      </c>
      <c r="GX22" s="36" t="s">
        <v>15</v>
      </c>
      <c r="GY22" s="48">
        <v>8.99375</v>
      </c>
      <c r="GZ22" s="36" t="s">
        <v>15</v>
      </c>
      <c r="HA22" s="36" t="s">
        <v>17</v>
      </c>
      <c r="HB22" s="35" t="s">
        <v>362</v>
      </c>
      <c r="HC22" s="35" t="s">
        <v>363</v>
      </c>
      <c r="HD22" s="35" t="s">
        <v>363</v>
      </c>
      <c r="HE22" s="35" t="s">
        <v>118</v>
      </c>
      <c r="HF22" s="40">
        <v>0</v>
      </c>
      <c r="HG22" s="35" t="s">
        <v>363</v>
      </c>
      <c r="HH22" s="35" t="s">
        <v>117</v>
      </c>
      <c r="HI22" s="35" t="s">
        <v>363</v>
      </c>
      <c r="HK22" s="47">
        <v>8.86875</v>
      </c>
      <c r="HL22" s="47">
        <v>8.93385</v>
      </c>
      <c r="HM22" s="47">
        <v>8.93385</v>
      </c>
      <c r="HN22" s="36" t="s">
        <v>15</v>
      </c>
      <c r="HO22" s="36">
        <v>2</v>
      </c>
      <c r="HP22" s="36">
        <v>2</v>
      </c>
      <c r="HQ22" s="36">
        <v>2</v>
      </c>
      <c r="HR22" s="36" t="s">
        <v>15</v>
      </c>
      <c r="HS22" s="48">
        <v>8.86875</v>
      </c>
      <c r="HT22" s="36" t="s">
        <v>15</v>
      </c>
      <c r="HU22" s="36" t="s">
        <v>17</v>
      </c>
      <c r="HV22" s="35" t="s">
        <v>362</v>
      </c>
      <c r="HW22" s="35" t="s">
        <v>363</v>
      </c>
      <c r="HX22" s="35" t="s">
        <v>363</v>
      </c>
      <c r="HY22" s="35" t="s">
        <v>118</v>
      </c>
      <c r="HZ22" s="40">
        <v>0</v>
      </c>
      <c r="IA22" s="35" t="s">
        <v>363</v>
      </c>
      <c r="IB22" s="35" t="s">
        <v>117</v>
      </c>
      <c r="IC22" s="35" t="s">
        <v>363</v>
      </c>
      <c r="IE22" s="47">
        <v>8.74375</v>
      </c>
      <c r="IF22" s="47">
        <v>8.87085</v>
      </c>
      <c r="IG22" s="47">
        <v>8.87085</v>
      </c>
      <c r="IH22" s="36" t="s">
        <v>15</v>
      </c>
      <c r="II22" s="36">
        <v>3</v>
      </c>
      <c r="IJ22" s="36">
        <v>3</v>
      </c>
      <c r="IK22" s="36">
        <v>3</v>
      </c>
      <c r="IL22" s="36" t="s">
        <v>15</v>
      </c>
      <c r="IM22" s="48">
        <v>8.74375</v>
      </c>
      <c r="IN22" s="36" t="s">
        <v>15</v>
      </c>
      <c r="IO22" s="36" t="s">
        <v>17</v>
      </c>
      <c r="IP22" s="35" t="s">
        <v>362</v>
      </c>
      <c r="IQ22" s="35" t="s">
        <v>363</v>
      </c>
      <c r="IR22" s="35" t="s">
        <v>363</v>
      </c>
      <c r="IS22" s="35" t="s">
        <v>118</v>
      </c>
      <c r="IT22" s="40">
        <v>0</v>
      </c>
      <c r="IU22" s="35" t="s">
        <v>363</v>
      </c>
      <c r="IV22" s="35" t="s">
        <v>117</v>
      </c>
      <c r="IW22" s="35" t="s">
        <v>363</v>
      </c>
      <c r="IY22" s="47">
        <v>8.61875</v>
      </c>
      <c r="IZ22" s="47">
        <v>8.80785</v>
      </c>
      <c r="JA22" s="47">
        <v>8.80785</v>
      </c>
      <c r="JB22" s="36" t="s">
        <v>15</v>
      </c>
      <c r="JC22" s="36">
        <v>4</v>
      </c>
      <c r="JD22" s="36">
        <v>4</v>
      </c>
      <c r="JE22" s="36">
        <v>4</v>
      </c>
      <c r="JF22" s="36" t="s">
        <v>15</v>
      </c>
      <c r="JG22" s="48">
        <v>8.61875</v>
      </c>
      <c r="JH22" s="36" t="s">
        <v>15</v>
      </c>
      <c r="JI22" s="36" t="s">
        <v>17</v>
      </c>
      <c r="JJ22" s="35" t="s">
        <v>362</v>
      </c>
      <c r="JK22" s="35" t="s">
        <v>363</v>
      </c>
      <c r="JL22" s="35" t="s">
        <v>363</v>
      </c>
      <c r="JM22" s="35" t="s">
        <v>118</v>
      </c>
      <c r="JN22" s="40">
        <v>0</v>
      </c>
      <c r="JO22" s="35" t="s">
        <v>363</v>
      </c>
      <c r="JP22" s="35" t="s">
        <v>117</v>
      </c>
      <c r="JQ22" s="35" t="s">
        <v>363</v>
      </c>
      <c r="JS22" s="47">
        <v>8.49375</v>
      </c>
      <c r="JT22" s="47">
        <v>8.74485</v>
      </c>
      <c r="JU22" s="47">
        <v>8.74485</v>
      </c>
      <c r="JV22" s="36" t="s">
        <v>15</v>
      </c>
      <c r="JW22" s="36">
        <v>5</v>
      </c>
      <c r="JX22" s="36">
        <v>5</v>
      </c>
      <c r="JY22" s="36">
        <v>5</v>
      </c>
      <c r="JZ22" s="36" t="s">
        <v>15</v>
      </c>
      <c r="KA22" s="48">
        <v>8.49375</v>
      </c>
      <c r="KB22" s="36" t="s">
        <v>15</v>
      </c>
      <c r="KC22" s="36" t="s">
        <v>17</v>
      </c>
      <c r="KD22" s="35" t="s">
        <v>362</v>
      </c>
      <c r="KE22" s="35" t="s">
        <v>363</v>
      </c>
      <c r="KF22" s="35" t="s">
        <v>363</v>
      </c>
      <c r="KG22" s="35" t="s">
        <v>118</v>
      </c>
      <c r="KH22" s="40">
        <v>0</v>
      </c>
      <c r="KI22" s="35" t="s">
        <v>363</v>
      </c>
      <c r="KJ22" s="35" t="s">
        <v>117</v>
      </c>
      <c r="KK22" s="35" t="s">
        <v>363</v>
      </c>
      <c r="KM22" s="47">
        <v>8.36875</v>
      </c>
      <c r="KN22" s="47">
        <v>8.68185</v>
      </c>
      <c r="KO22" s="47">
        <v>8.68185</v>
      </c>
      <c r="KP22" s="36" t="s">
        <v>15</v>
      </c>
      <c r="KQ22" s="36">
        <v>6</v>
      </c>
      <c r="KR22" s="36">
        <v>6</v>
      </c>
      <c r="KS22" s="36">
        <v>6</v>
      </c>
      <c r="KT22" s="36" t="s">
        <v>15</v>
      </c>
      <c r="KU22" s="48">
        <v>8.36875</v>
      </c>
      <c r="KV22" s="36" t="s">
        <v>15</v>
      </c>
      <c r="KW22" s="36" t="s">
        <v>17</v>
      </c>
      <c r="KX22" s="35" t="s">
        <v>362</v>
      </c>
      <c r="KY22" s="35" t="s">
        <v>363</v>
      </c>
      <c r="KZ22" s="35" t="s">
        <v>363</v>
      </c>
      <c r="LA22" s="35" t="s">
        <v>118</v>
      </c>
      <c r="LB22" s="40">
        <v>0</v>
      </c>
      <c r="LC22" s="35" t="s">
        <v>363</v>
      </c>
      <c r="LD22" s="35" t="s">
        <v>117</v>
      </c>
      <c r="LE22" s="35" t="s">
        <v>363</v>
      </c>
    </row>
    <row r="23">
      <c r="A23" s="0" t="s">
        <v>341</v>
      </c>
      <c r="B23" s="6" t="s">
        <v>342</v>
      </c>
      <c r="C23" s="0" t="s">
        <v>440</v>
      </c>
      <c r="D23" s="6">
        <v>30066</v>
      </c>
      <c r="E23" s="6" t="s">
        <v>344</v>
      </c>
      <c r="F23" s="0" t="s">
        <v>345</v>
      </c>
      <c r="G23" s="0" t="s">
        <v>45</v>
      </c>
      <c r="H23" s="6" t="s">
        <v>441</v>
      </c>
      <c r="I23" s="0" t="s">
        <v>347</v>
      </c>
      <c r="K23" s="0" t="s">
        <v>442</v>
      </c>
      <c r="L23" s="0" t="s">
        <v>443</v>
      </c>
      <c r="M23" s="0" t="s">
        <v>444</v>
      </c>
      <c r="N23" s="0" t="s">
        <v>377</v>
      </c>
      <c r="O23" s="33">
        <v>40</v>
      </c>
      <c r="P23" s="33">
        <v>972</v>
      </c>
      <c r="Q23" s="6" t="s">
        <v>15</v>
      </c>
      <c r="R23" s="0" t="s">
        <v>352</v>
      </c>
      <c r="S23" s="6" t="s">
        <v>368</v>
      </c>
      <c r="T23" s="0" t="s">
        <v>369</v>
      </c>
      <c r="U23" s="6" t="s">
        <v>15</v>
      </c>
      <c r="V23" s="6" t="s">
        <v>15</v>
      </c>
      <c r="W23" s="0" t="s">
        <v>62</v>
      </c>
      <c r="X23" s="6" t="s">
        <v>15</v>
      </c>
      <c r="Y23" s="6" t="s">
        <v>17</v>
      </c>
      <c r="Z23" s="34" t="s">
        <v>39</v>
      </c>
      <c r="AA23" s="6" t="s">
        <v>15</v>
      </c>
      <c r="AB23" s="0" t="s">
        <v>354</v>
      </c>
      <c r="AC23" s="6">
        <v>5</v>
      </c>
      <c r="AD23" s="6" t="s">
        <v>15</v>
      </c>
      <c r="AE23" s="6" t="s">
        <v>15</v>
      </c>
      <c r="AF23" s="6">
        <v>1956</v>
      </c>
      <c r="AG23" s="6">
        <v>71</v>
      </c>
      <c r="AH23" s="33">
        <v>50</v>
      </c>
      <c r="AI23" s="33">
        <v>220</v>
      </c>
      <c r="AJ23" s="33">
        <v>7</v>
      </c>
      <c r="AK23" s="6" t="s">
        <v>370</v>
      </c>
      <c r="AL23" s="33">
        <v>66</v>
      </c>
      <c r="AM23" s="0" t="s">
        <v>15</v>
      </c>
      <c r="AN23" s="0" t="s">
        <v>359</v>
      </c>
      <c r="AO23" s="6" t="s">
        <v>36</v>
      </c>
      <c r="AP23" s="6" t="s">
        <v>15</v>
      </c>
      <c r="AQ23" s="0" t="s">
        <v>357</v>
      </c>
      <c r="AR23" s="6" t="s">
        <v>15</v>
      </c>
      <c r="AS23" s="6" t="s">
        <v>15</v>
      </c>
      <c r="AT23" s="6" t="s">
        <v>17</v>
      </c>
      <c r="AU23" s="6" t="s">
        <v>15</v>
      </c>
      <c r="AV23" s="6" t="s">
        <v>17</v>
      </c>
      <c r="AW23" s="6" t="s">
        <v>15</v>
      </c>
      <c r="AX23" s="43" t="s">
        <v>371</v>
      </c>
      <c r="AY23" s="44">
        <v>437400</v>
      </c>
      <c r="AZ23" s="43" t="s">
        <v>359</v>
      </c>
      <c r="BA23" s="44">
        <v>0</v>
      </c>
      <c r="BB23" s="43" t="s">
        <v>359</v>
      </c>
      <c r="BC23" s="44">
        <v>0</v>
      </c>
      <c r="BD23" s="43" t="s">
        <v>359</v>
      </c>
      <c r="BE23" s="44">
        <v>0</v>
      </c>
      <c r="BF23" s="43" t="s">
        <v>359</v>
      </c>
      <c r="BG23" s="44">
        <v>0</v>
      </c>
      <c r="BH23" s="43" t="s">
        <v>359</v>
      </c>
      <c r="BI23" s="44">
        <v>0</v>
      </c>
      <c r="BJ23" s="43" t="s">
        <v>359</v>
      </c>
      <c r="BK23" s="44">
        <v>0</v>
      </c>
      <c r="BL23" s="43" t="s">
        <v>359</v>
      </c>
      <c r="BM23" s="44">
        <v>0</v>
      </c>
      <c r="BN23" s="43" t="s">
        <v>359</v>
      </c>
      <c r="BO23" s="44">
        <v>0</v>
      </c>
      <c r="BP23" s="43" t="s">
        <v>359</v>
      </c>
      <c r="BQ23" s="44">
        <v>0</v>
      </c>
      <c r="BR23" s="43" t="s">
        <v>359</v>
      </c>
      <c r="BS23" s="44">
        <v>0</v>
      </c>
      <c r="BT23" s="6" t="s">
        <v>360</v>
      </c>
      <c r="BU23" s="6" t="s">
        <v>359</v>
      </c>
      <c r="BW23" s="0" t="s">
        <v>361</v>
      </c>
      <c r="BX23" s="0" t="s">
        <v>359</v>
      </c>
      <c r="BY23" s="0" t="s">
        <v>359</v>
      </c>
      <c r="BZ23" s="0" t="s">
        <v>359</v>
      </c>
      <c r="CA23" s="0" t="s">
        <v>359</v>
      </c>
      <c r="CB23" s="0" t="s">
        <v>359</v>
      </c>
      <c r="CC23" s="0" t="s">
        <v>359</v>
      </c>
      <c r="CD23" s="0" t="s">
        <v>359</v>
      </c>
      <c r="CE23" s="0" t="s">
        <v>359</v>
      </c>
      <c r="CF23" s="0" t="s">
        <v>359</v>
      </c>
      <c r="CG23" s="0" t="s">
        <v>359</v>
      </c>
      <c r="CI23" s="46">
        <v>4.587000000000001</v>
      </c>
      <c r="CJ23" s="46">
        <v>4.5809999999999995</v>
      </c>
      <c r="CK23" s="46">
        <v>5.512000000000001</v>
      </c>
      <c r="CL23" s="6" t="s">
        <v>15</v>
      </c>
      <c r="CM23" s="6">
        <v>6</v>
      </c>
      <c r="CN23" s="6">
        <v>6</v>
      </c>
      <c r="CO23" s="6">
        <v>12</v>
      </c>
      <c r="CP23" s="6" t="s">
        <v>15</v>
      </c>
      <c r="CQ23" s="45">
        <v>4.5809999999999995</v>
      </c>
      <c r="CR23" s="6" t="s">
        <v>17</v>
      </c>
      <c r="CS23" s="6" t="s">
        <v>15</v>
      </c>
      <c r="CU23" s="46">
        <v>9.99</v>
      </c>
      <c r="CV23" s="46">
        <v>9.99</v>
      </c>
      <c r="CW23" s="46">
        <v>6.99</v>
      </c>
      <c r="CX23" s="6" t="s">
        <v>15</v>
      </c>
      <c r="CY23" s="6">
        <v>1</v>
      </c>
      <c r="CZ23" s="6">
        <v>1</v>
      </c>
      <c r="DA23" s="6">
        <v>1</v>
      </c>
      <c r="DB23" s="6" t="s">
        <v>15</v>
      </c>
      <c r="DC23" s="45">
        <v>6.99</v>
      </c>
      <c r="DD23" s="6" t="s">
        <v>15</v>
      </c>
      <c r="DE23" s="6" t="s">
        <v>15</v>
      </c>
      <c r="DF23" s="0" t="s">
        <v>362</v>
      </c>
      <c r="DG23" s="0" t="s">
        <v>363</v>
      </c>
      <c r="DH23" s="0" t="s">
        <v>136</v>
      </c>
      <c r="DI23" s="0" t="s">
        <v>128</v>
      </c>
      <c r="DJ23" s="39">
        <v>437400</v>
      </c>
      <c r="DK23" s="0" t="s">
        <v>363</v>
      </c>
      <c r="DL23" s="0" t="s">
        <v>122</v>
      </c>
      <c r="DM23" s="0" t="s">
        <v>363</v>
      </c>
      <c r="DO23" s="46">
        <v>9.790000000000001</v>
      </c>
      <c r="DP23" s="46">
        <v>9.790000000000001</v>
      </c>
      <c r="DQ23" s="46">
        <v>6.931</v>
      </c>
      <c r="DR23" s="6" t="s">
        <v>15</v>
      </c>
      <c r="DS23" s="6">
        <v>2</v>
      </c>
      <c r="DT23" s="6">
        <v>2</v>
      </c>
      <c r="DU23" s="6">
        <v>2</v>
      </c>
      <c r="DV23" s="6" t="s">
        <v>15</v>
      </c>
      <c r="DW23" s="45">
        <v>6.931</v>
      </c>
      <c r="DX23" s="6" t="s">
        <v>15</v>
      </c>
      <c r="DY23" s="6" t="s">
        <v>15</v>
      </c>
      <c r="DZ23" s="0" t="s">
        <v>362</v>
      </c>
      <c r="EA23" s="0" t="s">
        <v>363</v>
      </c>
      <c r="EB23" s="0" t="s">
        <v>363</v>
      </c>
      <c r="EC23" s="0" t="s">
        <v>118</v>
      </c>
      <c r="ED23" s="39">
        <v>0</v>
      </c>
      <c r="EE23" s="0" t="s">
        <v>363</v>
      </c>
      <c r="EF23" s="0" t="s">
        <v>117</v>
      </c>
      <c r="EG23" s="0" t="s">
        <v>363</v>
      </c>
      <c r="EI23" s="46">
        <v>9.59</v>
      </c>
      <c r="EJ23" s="46">
        <v>9.59</v>
      </c>
      <c r="EK23" s="46">
        <v>6.872000000000001</v>
      </c>
      <c r="EL23" s="6" t="s">
        <v>15</v>
      </c>
      <c r="EM23" s="6">
        <v>3</v>
      </c>
      <c r="EN23" s="6">
        <v>3</v>
      </c>
      <c r="EO23" s="6">
        <v>3</v>
      </c>
      <c r="EP23" s="6" t="s">
        <v>15</v>
      </c>
      <c r="EQ23" s="45">
        <v>6.872000000000001</v>
      </c>
      <c r="ER23" s="6" t="s">
        <v>15</v>
      </c>
      <c r="ES23" s="6" t="s">
        <v>15</v>
      </c>
      <c r="ET23" s="0" t="s">
        <v>362</v>
      </c>
      <c r="EU23" s="0" t="s">
        <v>363</v>
      </c>
      <c r="EV23" s="0" t="s">
        <v>363</v>
      </c>
      <c r="EW23" s="0" t="s">
        <v>118</v>
      </c>
      <c r="EX23" s="39">
        <v>0</v>
      </c>
      <c r="EY23" s="0" t="s">
        <v>363</v>
      </c>
      <c r="EZ23" s="0" t="s">
        <v>117</v>
      </c>
      <c r="FA23" s="0" t="s">
        <v>363</v>
      </c>
      <c r="FC23" s="46">
        <v>9.39</v>
      </c>
      <c r="FD23" s="46">
        <v>9.39</v>
      </c>
      <c r="FE23" s="46">
        <v>6.813000000000001</v>
      </c>
      <c r="FF23" s="6" t="s">
        <v>15</v>
      </c>
      <c r="FG23" s="6">
        <v>4</v>
      </c>
      <c r="FH23" s="6">
        <v>4</v>
      </c>
      <c r="FI23" s="6">
        <v>4</v>
      </c>
      <c r="FJ23" s="6" t="s">
        <v>15</v>
      </c>
      <c r="FK23" s="45">
        <v>6.813000000000001</v>
      </c>
      <c r="FL23" s="6" t="s">
        <v>15</v>
      </c>
      <c r="FM23" s="6" t="s">
        <v>15</v>
      </c>
      <c r="FN23" s="0" t="s">
        <v>362</v>
      </c>
      <c r="FO23" s="0" t="s">
        <v>363</v>
      </c>
      <c r="FP23" s="0" t="s">
        <v>363</v>
      </c>
      <c r="FQ23" s="0" t="s">
        <v>118</v>
      </c>
      <c r="FR23" s="39">
        <v>0</v>
      </c>
      <c r="FS23" s="0" t="s">
        <v>363</v>
      </c>
      <c r="FT23" s="0" t="s">
        <v>117</v>
      </c>
      <c r="FU23" s="0" t="s">
        <v>363</v>
      </c>
      <c r="FW23" s="46">
        <v>9.19</v>
      </c>
      <c r="FX23" s="46">
        <v>9.19</v>
      </c>
      <c r="FY23" s="46">
        <v>6.7540000000000004</v>
      </c>
      <c r="FZ23" s="6" t="s">
        <v>15</v>
      </c>
      <c r="GA23" s="6">
        <v>5</v>
      </c>
      <c r="GB23" s="6">
        <v>5</v>
      </c>
      <c r="GC23" s="6">
        <v>5</v>
      </c>
      <c r="GD23" s="6" t="s">
        <v>15</v>
      </c>
      <c r="GE23" s="45">
        <v>6.7540000000000004</v>
      </c>
      <c r="GF23" s="6" t="s">
        <v>15</v>
      </c>
      <c r="GG23" s="6" t="s">
        <v>15</v>
      </c>
      <c r="GH23" s="0" t="s">
        <v>362</v>
      </c>
      <c r="GI23" s="0" t="s">
        <v>363</v>
      </c>
      <c r="GJ23" s="0" t="s">
        <v>363</v>
      </c>
      <c r="GK23" s="0" t="s">
        <v>118</v>
      </c>
      <c r="GL23" s="39">
        <v>0</v>
      </c>
      <c r="GM23" s="0" t="s">
        <v>363</v>
      </c>
      <c r="GN23" s="0" t="s">
        <v>117</v>
      </c>
      <c r="GO23" s="0" t="s">
        <v>363</v>
      </c>
      <c r="GQ23" s="46">
        <v>8.99375</v>
      </c>
      <c r="GR23" s="46">
        <v>8.99685</v>
      </c>
      <c r="GS23" s="46">
        <v>6.695</v>
      </c>
      <c r="GT23" s="6" t="s">
        <v>15</v>
      </c>
      <c r="GU23" s="6">
        <v>1</v>
      </c>
      <c r="GV23" s="6">
        <v>1</v>
      </c>
      <c r="GW23" s="6">
        <v>6</v>
      </c>
      <c r="GX23" s="6" t="s">
        <v>15</v>
      </c>
      <c r="GY23" s="45">
        <v>6.695</v>
      </c>
      <c r="GZ23" s="6" t="s">
        <v>15</v>
      </c>
      <c r="HA23" s="6" t="s">
        <v>15</v>
      </c>
      <c r="HB23" s="0" t="s">
        <v>362</v>
      </c>
      <c r="HC23" s="0" t="s">
        <v>363</v>
      </c>
      <c r="HD23" s="0" t="s">
        <v>363</v>
      </c>
      <c r="HE23" s="0" t="s">
        <v>118</v>
      </c>
      <c r="HF23" s="39">
        <v>0</v>
      </c>
      <c r="HG23" s="0" t="s">
        <v>363</v>
      </c>
      <c r="HH23" s="0" t="s">
        <v>117</v>
      </c>
      <c r="HI23" s="0" t="s">
        <v>363</v>
      </c>
      <c r="HK23" s="46">
        <v>8.86875</v>
      </c>
      <c r="HL23" s="46">
        <v>8.93385</v>
      </c>
      <c r="HM23" s="46">
        <v>6.636</v>
      </c>
      <c r="HN23" s="6" t="s">
        <v>15</v>
      </c>
      <c r="HO23" s="6">
        <v>2</v>
      </c>
      <c r="HP23" s="6">
        <v>2</v>
      </c>
      <c r="HQ23" s="6">
        <v>7</v>
      </c>
      <c r="HR23" s="6" t="s">
        <v>15</v>
      </c>
      <c r="HS23" s="45">
        <v>6.636</v>
      </c>
      <c r="HT23" s="6" t="s">
        <v>15</v>
      </c>
      <c r="HU23" s="6" t="s">
        <v>15</v>
      </c>
      <c r="HV23" s="0" t="s">
        <v>362</v>
      </c>
      <c r="HW23" s="0" t="s">
        <v>363</v>
      </c>
      <c r="HX23" s="0" t="s">
        <v>363</v>
      </c>
      <c r="HY23" s="0" t="s">
        <v>118</v>
      </c>
      <c r="HZ23" s="39">
        <v>0</v>
      </c>
      <c r="IA23" s="0" t="s">
        <v>363</v>
      </c>
      <c r="IB23" s="0" t="s">
        <v>117</v>
      </c>
      <c r="IC23" s="0" t="s">
        <v>363</v>
      </c>
      <c r="IE23" s="46">
        <v>8.74375</v>
      </c>
      <c r="IF23" s="46">
        <v>8.87085</v>
      </c>
      <c r="IG23" s="46">
        <v>6.577000000000001</v>
      </c>
      <c r="IH23" s="6" t="s">
        <v>15</v>
      </c>
      <c r="II23" s="6">
        <v>3</v>
      </c>
      <c r="IJ23" s="6">
        <v>3</v>
      </c>
      <c r="IK23" s="6">
        <v>8</v>
      </c>
      <c r="IL23" s="6" t="s">
        <v>15</v>
      </c>
      <c r="IM23" s="45">
        <v>6.577000000000001</v>
      </c>
      <c r="IN23" s="6" t="s">
        <v>15</v>
      </c>
      <c r="IO23" s="6" t="s">
        <v>15</v>
      </c>
      <c r="IP23" s="0" t="s">
        <v>362</v>
      </c>
      <c r="IQ23" s="0" t="s">
        <v>363</v>
      </c>
      <c r="IR23" s="0" t="s">
        <v>363</v>
      </c>
      <c r="IS23" s="0" t="s">
        <v>118</v>
      </c>
      <c r="IT23" s="39">
        <v>0</v>
      </c>
      <c r="IU23" s="0" t="s">
        <v>363</v>
      </c>
      <c r="IV23" s="0" t="s">
        <v>117</v>
      </c>
      <c r="IW23" s="0" t="s">
        <v>363</v>
      </c>
      <c r="IY23" s="46">
        <v>8.61875</v>
      </c>
      <c r="IZ23" s="46">
        <v>8.80785</v>
      </c>
      <c r="JA23" s="46">
        <v>6.518000000000001</v>
      </c>
      <c r="JB23" s="6" t="s">
        <v>15</v>
      </c>
      <c r="JC23" s="6">
        <v>4</v>
      </c>
      <c r="JD23" s="6">
        <v>4</v>
      </c>
      <c r="JE23" s="6">
        <v>9</v>
      </c>
      <c r="JF23" s="6" t="s">
        <v>15</v>
      </c>
      <c r="JG23" s="45">
        <v>6.518000000000001</v>
      </c>
      <c r="JH23" s="6" t="s">
        <v>15</v>
      </c>
      <c r="JI23" s="6" t="s">
        <v>15</v>
      </c>
      <c r="JJ23" s="0" t="s">
        <v>362</v>
      </c>
      <c r="JK23" s="0" t="s">
        <v>363</v>
      </c>
      <c r="JL23" s="0" t="s">
        <v>363</v>
      </c>
      <c r="JM23" s="0" t="s">
        <v>118</v>
      </c>
      <c r="JN23" s="39">
        <v>0</v>
      </c>
      <c r="JO23" s="0" t="s">
        <v>363</v>
      </c>
      <c r="JP23" s="0" t="s">
        <v>117</v>
      </c>
      <c r="JQ23" s="0" t="s">
        <v>363</v>
      </c>
      <c r="JS23" s="46">
        <v>8.49375</v>
      </c>
      <c r="JT23" s="46">
        <v>8.74485</v>
      </c>
      <c r="JU23" s="46">
        <v>6.4590000000000005</v>
      </c>
      <c r="JV23" s="6" t="s">
        <v>15</v>
      </c>
      <c r="JW23" s="6">
        <v>5</v>
      </c>
      <c r="JX23" s="6">
        <v>5</v>
      </c>
      <c r="JY23" s="6">
        <v>10</v>
      </c>
      <c r="JZ23" s="6" t="s">
        <v>15</v>
      </c>
      <c r="KA23" s="45">
        <v>6.4590000000000005</v>
      </c>
      <c r="KB23" s="6" t="s">
        <v>15</v>
      </c>
      <c r="KC23" s="6" t="s">
        <v>15</v>
      </c>
      <c r="KD23" s="0" t="s">
        <v>362</v>
      </c>
      <c r="KE23" s="0" t="s">
        <v>363</v>
      </c>
      <c r="KF23" s="0" t="s">
        <v>363</v>
      </c>
      <c r="KG23" s="0" t="s">
        <v>118</v>
      </c>
      <c r="KH23" s="39">
        <v>0</v>
      </c>
      <c r="KI23" s="0" t="s">
        <v>363</v>
      </c>
      <c r="KJ23" s="0" t="s">
        <v>117</v>
      </c>
      <c r="KK23" s="0" t="s">
        <v>363</v>
      </c>
      <c r="KM23" s="46">
        <v>8.36875</v>
      </c>
      <c r="KN23" s="46">
        <v>8.68185</v>
      </c>
      <c r="KO23" s="46">
        <v>6.4</v>
      </c>
      <c r="KP23" s="6" t="s">
        <v>15</v>
      </c>
      <c r="KQ23" s="6">
        <v>6</v>
      </c>
      <c r="KR23" s="6">
        <v>6</v>
      </c>
      <c r="KS23" s="6">
        <v>11</v>
      </c>
      <c r="KT23" s="6" t="s">
        <v>15</v>
      </c>
      <c r="KU23" s="45">
        <v>6.4</v>
      </c>
      <c r="KV23" s="6" t="s">
        <v>15</v>
      </c>
      <c r="KW23" s="6" t="s">
        <v>15</v>
      </c>
      <c r="KX23" s="0" t="s">
        <v>362</v>
      </c>
      <c r="KY23" s="0" t="s">
        <v>363</v>
      </c>
      <c r="KZ23" s="0" t="s">
        <v>363</v>
      </c>
      <c r="LA23" s="0" t="s">
        <v>118</v>
      </c>
      <c r="LB23" s="39">
        <v>0</v>
      </c>
      <c r="LC23" s="0" t="s">
        <v>363</v>
      </c>
      <c r="LD23" s="0" t="s">
        <v>117</v>
      </c>
      <c r="LE23" s="0" t="s">
        <v>363</v>
      </c>
    </row>
    <row r="24">
      <c r="A24" s="35" t="s">
        <v>341</v>
      </c>
      <c r="B24" s="36" t="s">
        <v>342</v>
      </c>
      <c r="C24" s="35" t="s">
        <v>445</v>
      </c>
      <c r="D24" s="36">
        <v>30067</v>
      </c>
      <c r="E24" s="36" t="s">
        <v>344</v>
      </c>
      <c r="F24" s="35" t="s">
        <v>345</v>
      </c>
      <c r="G24" s="35" t="s">
        <v>40</v>
      </c>
      <c r="H24" s="36" t="s">
        <v>346</v>
      </c>
      <c r="I24" s="35" t="s">
        <v>347</v>
      </c>
      <c r="J24" s="35"/>
      <c r="K24" s="35" t="s">
        <v>410</v>
      </c>
      <c r="L24" s="35" t="s">
        <v>446</v>
      </c>
      <c r="M24" s="35" t="s">
        <v>447</v>
      </c>
      <c r="N24" s="35" t="s">
        <v>351</v>
      </c>
      <c r="O24" s="37">
        <v>36</v>
      </c>
      <c r="P24" s="37">
        <v>640.8</v>
      </c>
      <c r="Q24" s="36" t="s">
        <v>15</v>
      </c>
      <c r="R24" s="35" t="s">
        <v>352</v>
      </c>
      <c r="S24" s="36" t="s">
        <v>425</v>
      </c>
      <c r="T24" s="35" t="s">
        <v>448</v>
      </c>
      <c r="U24" s="36" t="s">
        <v>15</v>
      </c>
      <c r="V24" s="36" t="s">
        <v>15</v>
      </c>
      <c r="W24" s="35" t="s">
        <v>62</v>
      </c>
      <c r="X24" s="36" t="s">
        <v>15</v>
      </c>
      <c r="Y24" s="36" t="s">
        <v>17</v>
      </c>
      <c r="Z24" s="38" t="s">
        <v>39</v>
      </c>
      <c r="AA24" s="36" t="s">
        <v>15</v>
      </c>
      <c r="AB24" s="35" t="s">
        <v>449</v>
      </c>
      <c r="AC24" s="36">
        <v>10</v>
      </c>
      <c r="AD24" s="36" t="s">
        <v>15</v>
      </c>
      <c r="AE24" s="36" t="s">
        <v>15</v>
      </c>
      <c r="AF24" s="36">
        <v>1912</v>
      </c>
      <c r="AG24" s="36">
        <v>115</v>
      </c>
      <c r="AH24" s="37">
        <v>50</v>
      </c>
      <c r="AI24" s="37">
        <v>179</v>
      </c>
      <c r="AJ24" s="37">
        <v>3</v>
      </c>
      <c r="AK24" s="36" t="s">
        <v>355</v>
      </c>
      <c r="AL24" s="37">
        <v>45</v>
      </c>
      <c r="AM24" s="35" t="s">
        <v>15</v>
      </c>
      <c r="AN24" s="35" t="s">
        <v>359</v>
      </c>
      <c r="AO24" s="36" t="s">
        <v>356</v>
      </c>
      <c r="AP24" s="36" t="s">
        <v>15</v>
      </c>
      <c r="AQ24" s="35" t="s">
        <v>357</v>
      </c>
      <c r="AR24" s="36" t="s">
        <v>15</v>
      </c>
      <c r="AS24" s="36" t="s">
        <v>15</v>
      </c>
      <c r="AT24" s="36" t="s">
        <v>17</v>
      </c>
      <c r="AU24" s="36" t="s">
        <v>15</v>
      </c>
      <c r="AV24" s="36" t="s">
        <v>17</v>
      </c>
      <c r="AW24" s="36" t="s">
        <v>15</v>
      </c>
      <c r="AX24" s="41" t="s">
        <v>359</v>
      </c>
      <c r="AY24" s="42">
        <v>0</v>
      </c>
      <c r="AZ24" s="41" t="s">
        <v>359</v>
      </c>
      <c r="BA24" s="42">
        <v>0</v>
      </c>
      <c r="BB24" s="41" t="s">
        <v>359</v>
      </c>
      <c r="BC24" s="42">
        <v>0</v>
      </c>
      <c r="BD24" s="41" t="s">
        <v>359</v>
      </c>
      <c r="BE24" s="42">
        <v>0</v>
      </c>
      <c r="BF24" s="41" t="s">
        <v>359</v>
      </c>
      <c r="BG24" s="42">
        <v>0</v>
      </c>
      <c r="BH24" s="41" t="s">
        <v>383</v>
      </c>
      <c r="BI24" s="42">
        <v>1043346.67</v>
      </c>
      <c r="BJ24" s="41" t="s">
        <v>359</v>
      </c>
      <c r="BK24" s="42">
        <v>0</v>
      </c>
      <c r="BL24" s="41" t="s">
        <v>359</v>
      </c>
      <c r="BM24" s="42">
        <v>0</v>
      </c>
      <c r="BN24" s="41" t="s">
        <v>359</v>
      </c>
      <c r="BO24" s="42">
        <v>0</v>
      </c>
      <c r="BP24" s="41" t="s">
        <v>359</v>
      </c>
      <c r="BQ24" s="42">
        <v>0</v>
      </c>
      <c r="BR24" s="41" t="s">
        <v>359</v>
      </c>
      <c r="BS24" s="42">
        <v>0</v>
      </c>
      <c r="BT24" s="36" t="s">
        <v>360</v>
      </c>
      <c r="BU24" s="36" t="s">
        <v>359</v>
      </c>
      <c r="BV24" s="35"/>
      <c r="BW24" s="35" t="s">
        <v>359</v>
      </c>
      <c r="BX24" s="35" t="s">
        <v>359</v>
      </c>
      <c r="BY24" s="35" t="s">
        <v>359</v>
      </c>
      <c r="BZ24" s="35" t="s">
        <v>359</v>
      </c>
      <c r="CA24" s="35" t="s">
        <v>359</v>
      </c>
      <c r="CB24" s="35" t="s">
        <v>361</v>
      </c>
      <c r="CC24" s="35" t="s">
        <v>359</v>
      </c>
      <c r="CD24" s="35" t="s">
        <v>359</v>
      </c>
      <c r="CE24" s="35" t="s">
        <v>359</v>
      </c>
      <c r="CF24" s="35" t="s">
        <v>359</v>
      </c>
      <c r="CG24" s="35" t="s">
        <v>359</v>
      </c>
      <c r="CI24" s="47">
        <v>9.6</v>
      </c>
      <c r="CJ24" s="47">
        <v>4.5969999999999995</v>
      </c>
      <c r="CK24" s="47">
        <v>4.611</v>
      </c>
      <c r="CL24" s="36" t="s">
        <v>15</v>
      </c>
      <c r="CM24" s="36">
        <v>1</v>
      </c>
      <c r="CN24" s="36">
        <v>6</v>
      </c>
      <c r="CO24" s="36">
        <v>6</v>
      </c>
      <c r="CP24" s="36" t="s">
        <v>15</v>
      </c>
      <c r="CQ24" s="48">
        <v>4.5969999999999995</v>
      </c>
      <c r="CR24" s="36" t="s">
        <v>17</v>
      </c>
      <c r="CS24" s="36" t="s">
        <v>17</v>
      </c>
      <c r="CU24" s="47">
        <v>9.6</v>
      </c>
      <c r="CV24" s="47">
        <v>4.5969999999999995</v>
      </c>
      <c r="CW24" s="47">
        <v>4.611</v>
      </c>
      <c r="CX24" s="36" t="s">
        <v>15</v>
      </c>
      <c r="CY24" s="36">
        <v>1</v>
      </c>
      <c r="CZ24" s="36">
        <v>6</v>
      </c>
      <c r="DA24" s="36">
        <v>6</v>
      </c>
      <c r="DB24" s="36" t="s">
        <v>15</v>
      </c>
      <c r="DC24" s="48">
        <v>4.5969999999999995</v>
      </c>
      <c r="DD24" s="36" t="s">
        <v>17</v>
      </c>
      <c r="DE24" s="36" t="s">
        <v>17</v>
      </c>
      <c r="DF24" s="35" t="s">
        <v>362</v>
      </c>
      <c r="DG24" s="35" t="s">
        <v>363</v>
      </c>
      <c r="DH24" s="35" t="s">
        <v>363</v>
      </c>
      <c r="DI24" s="35" t="s">
        <v>118</v>
      </c>
      <c r="DJ24" s="40">
        <v>0</v>
      </c>
      <c r="DK24" s="35" t="s">
        <v>363</v>
      </c>
      <c r="DL24" s="35" t="s">
        <v>117</v>
      </c>
      <c r="DM24" s="35" t="s">
        <v>363</v>
      </c>
      <c r="DO24" s="47">
        <v>9.4</v>
      </c>
      <c r="DP24" s="47">
        <v>4.514</v>
      </c>
      <c r="DQ24" s="47">
        <v>4.534</v>
      </c>
      <c r="DR24" s="36" t="s">
        <v>15</v>
      </c>
      <c r="DS24" s="36">
        <v>2</v>
      </c>
      <c r="DT24" s="36">
        <v>7</v>
      </c>
      <c r="DU24" s="36">
        <v>7</v>
      </c>
      <c r="DV24" s="36" t="s">
        <v>15</v>
      </c>
      <c r="DW24" s="48">
        <v>4.514</v>
      </c>
      <c r="DX24" s="36" t="s">
        <v>17</v>
      </c>
      <c r="DY24" s="36" t="s">
        <v>17</v>
      </c>
      <c r="DZ24" s="35" t="s">
        <v>362</v>
      </c>
      <c r="EA24" s="35" t="s">
        <v>363</v>
      </c>
      <c r="EB24" s="35" t="s">
        <v>363</v>
      </c>
      <c r="EC24" s="35" t="s">
        <v>118</v>
      </c>
      <c r="ED24" s="40">
        <v>0</v>
      </c>
      <c r="EE24" s="35" t="s">
        <v>363</v>
      </c>
      <c r="EF24" s="35" t="s">
        <v>117</v>
      </c>
      <c r="EG24" s="35" t="s">
        <v>363</v>
      </c>
      <c r="EI24" s="47">
        <v>9.2</v>
      </c>
      <c r="EJ24" s="47">
        <v>4.431</v>
      </c>
      <c r="EK24" s="47">
        <v>4.457</v>
      </c>
      <c r="EL24" s="36" t="s">
        <v>15</v>
      </c>
      <c r="EM24" s="36">
        <v>3</v>
      </c>
      <c r="EN24" s="36">
        <v>8</v>
      </c>
      <c r="EO24" s="36">
        <v>8</v>
      </c>
      <c r="EP24" s="36" t="s">
        <v>15</v>
      </c>
      <c r="EQ24" s="48">
        <v>4.431</v>
      </c>
      <c r="ER24" s="36" t="s">
        <v>17</v>
      </c>
      <c r="ES24" s="36" t="s">
        <v>17</v>
      </c>
      <c r="ET24" s="35" t="s">
        <v>362</v>
      </c>
      <c r="EU24" s="35" t="s">
        <v>363</v>
      </c>
      <c r="EV24" s="35" t="s">
        <v>363</v>
      </c>
      <c r="EW24" s="35" t="s">
        <v>118</v>
      </c>
      <c r="EX24" s="40">
        <v>0</v>
      </c>
      <c r="EY24" s="35" t="s">
        <v>363</v>
      </c>
      <c r="EZ24" s="35" t="s">
        <v>117</v>
      </c>
      <c r="FA24" s="35" t="s">
        <v>363</v>
      </c>
      <c r="FC24" s="47">
        <v>9</v>
      </c>
      <c r="FD24" s="47">
        <v>4.348</v>
      </c>
      <c r="FE24" s="47">
        <v>4.38</v>
      </c>
      <c r="FF24" s="36" t="s">
        <v>15</v>
      </c>
      <c r="FG24" s="36">
        <v>4</v>
      </c>
      <c r="FH24" s="36">
        <v>9</v>
      </c>
      <c r="FI24" s="36">
        <v>9</v>
      </c>
      <c r="FJ24" s="36" t="s">
        <v>15</v>
      </c>
      <c r="FK24" s="48">
        <v>4.348</v>
      </c>
      <c r="FL24" s="36" t="s">
        <v>17</v>
      </c>
      <c r="FM24" s="36" t="s">
        <v>17</v>
      </c>
      <c r="FN24" s="35" t="s">
        <v>362</v>
      </c>
      <c r="FO24" s="35" t="s">
        <v>363</v>
      </c>
      <c r="FP24" s="35" t="s">
        <v>363</v>
      </c>
      <c r="FQ24" s="35" t="s">
        <v>118</v>
      </c>
      <c r="FR24" s="40">
        <v>0</v>
      </c>
      <c r="FS24" s="35" t="s">
        <v>363</v>
      </c>
      <c r="FT24" s="35" t="s">
        <v>117</v>
      </c>
      <c r="FU24" s="35" t="s">
        <v>363</v>
      </c>
      <c r="FW24" s="47">
        <v>8.917</v>
      </c>
      <c r="FX24" s="47">
        <v>4.265</v>
      </c>
      <c r="FY24" s="47">
        <v>4.303</v>
      </c>
      <c r="FZ24" s="36" t="s">
        <v>15</v>
      </c>
      <c r="GA24" s="36">
        <v>1</v>
      </c>
      <c r="GB24" s="36">
        <v>10</v>
      </c>
      <c r="GC24" s="36">
        <v>10</v>
      </c>
      <c r="GD24" s="36" t="s">
        <v>15</v>
      </c>
      <c r="GE24" s="48">
        <v>4.265</v>
      </c>
      <c r="GF24" s="36" t="s">
        <v>17</v>
      </c>
      <c r="GG24" s="36" t="s">
        <v>17</v>
      </c>
      <c r="GH24" s="35" t="s">
        <v>362</v>
      </c>
      <c r="GI24" s="35" t="s">
        <v>363</v>
      </c>
      <c r="GJ24" s="35" t="s">
        <v>363</v>
      </c>
      <c r="GK24" s="35" t="s">
        <v>118</v>
      </c>
      <c r="GL24" s="40">
        <v>0</v>
      </c>
      <c r="GM24" s="35" t="s">
        <v>363</v>
      </c>
      <c r="GN24" s="35" t="s">
        <v>117</v>
      </c>
      <c r="GO24" s="35" t="s">
        <v>363</v>
      </c>
      <c r="GQ24" s="47">
        <v>9.99</v>
      </c>
      <c r="GR24" s="47">
        <v>9.99</v>
      </c>
      <c r="GS24" s="47">
        <v>9.99</v>
      </c>
      <c r="GT24" s="36" t="s">
        <v>15</v>
      </c>
      <c r="GU24" s="36">
        <v>1</v>
      </c>
      <c r="GV24" s="36">
        <v>1</v>
      </c>
      <c r="GW24" s="36">
        <v>1</v>
      </c>
      <c r="GX24" s="36" t="s">
        <v>15</v>
      </c>
      <c r="GY24" s="48">
        <v>9.99</v>
      </c>
      <c r="GZ24" s="36" t="s">
        <v>15</v>
      </c>
      <c r="HA24" s="36" t="s">
        <v>17</v>
      </c>
      <c r="HB24" s="35" t="s">
        <v>362</v>
      </c>
      <c r="HC24" s="35" t="s">
        <v>363</v>
      </c>
      <c r="HD24" s="35" t="s">
        <v>136</v>
      </c>
      <c r="HE24" s="35" t="s">
        <v>108</v>
      </c>
      <c r="HF24" s="40">
        <v>1043346.67</v>
      </c>
      <c r="HG24" s="35" t="s">
        <v>363</v>
      </c>
      <c r="HH24" s="35" t="s">
        <v>124</v>
      </c>
      <c r="HI24" s="35" t="s">
        <v>363</v>
      </c>
      <c r="HK24" s="47">
        <v>9.790000000000001</v>
      </c>
      <c r="HL24" s="47">
        <v>9.790000000000001</v>
      </c>
      <c r="HM24" s="47">
        <v>9.790000000000001</v>
      </c>
      <c r="HN24" s="36" t="s">
        <v>15</v>
      </c>
      <c r="HO24" s="36">
        <v>2</v>
      </c>
      <c r="HP24" s="36">
        <v>2</v>
      </c>
      <c r="HQ24" s="36">
        <v>2</v>
      </c>
      <c r="HR24" s="36" t="s">
        <v>15</v>
      </c>
      <c r="HS24" s="48">
        <v>9.790000000000001</v>
      </c>
      <c r="HT24" s="36" t="s">
        <v>15</v>
      </c>
      <c r="HU24" s="36" t="s">
        <v>17</v>
      </c>
      <c r="HV24" s="35" t="s">
        <v>362</v>
      </c>
      <c r="HW24" s="35" t="s">
        <v>363</v>
      </c>
      <c r="HX24" s="35" t="s">
        <v>363</v>
      </c>
      <c r="HY24" s="35" t="s">
        <v>118</v>
      </c>
      <c r="HZ24" s="40">
        <v>0</v>
      </c>
      <c r="IA24" s="35" t="s">
        <v>363</v>
      </c>
      <c r="IB24" s="35" t="s">
        <v>117</v>
      </c>
      <c r="IC24" s="35" t="s">
        <v>363</v>
      </c>
      <c r="IE24" s="47">
        <v>9.59</v>
      </c>
      <c r="IF24" s="47">
        <v>9.59</v>
      </c>
      <c r="IG24" s="47">
        <v>9.59</v>
      </c>
      <c r="IH24" s="36" t="s">
        <v>15</v>
      </c>
      <c r="II24" s="36">
        <v>3</v>
      </c>
      <c r="IJ24" s="36">
        <v>3</v>
      </c>
      <c r="IK24" s="36">
        <v>3</v>
      </c>
      <c r="IL24" s="36" t="s">
        <v>15</v>
      </c>
      <c r="IM24" s="48">
        <v>9.59</v>
      </c>
      <c r="IN24" s="36" t="s">
        <v>15</v>
      </c>
      <c r="IO24" s="36" t="s">
        <v>17</v>
      </c>
      <c r="IP24" s="35" t="s">
        <v>362</v>
      </c>
      <c r="IQ24" s="35" t="s">
        <v>363</v>
      </c>
      <c r="IR24" s="35" t="s">
        <v>363</v>
      </c>
      <c r="IS24" s="35" t="s">
        <v>118</v>
      </c>
      <c r="IT24" s="40">
        <v>0</v>
      </c>
      <c r="IU24" s="35" t="s">
        <v>363</v>
      </c>
      <c r="IV24" s="35" t="s">
        <v>117</v>
      </c>
      <c r="IW24" s="35" t="s">
        <v>363</v>
      </c>
      <c r="IY24" s="47">
        <v>9.39</v>
      </c>
      <c r="IZ24" s="47">
        <v>9.39</v>
      </c>
      <c r="JA24" s="47">
        <v>9.39</v>
      </c>
      <c r="JB24" s="36" t="s">
        <v>15</v>
      </c>
      <c r="JC24" s="36">
        <v>4</v>
      </c>
      <c r="JD24" s="36">
        <v>4</v>
      </c>
      <c r="JE24" s="36">
        <v>4</v>
      </c>
      <c r="JF24" s="36" t="s">
        <v>15</v>
      </c>
      <c r="JG24" s="48">
        <v>9.39</v>
      </c>
      <c r="JH24" s="36" t="s">
        <v>15</v>
      </c>
      <c r="JI24" s="36" t="s">
        <v>17</v>
      </c>
      <c r="JJ24" s="35" t="s">
        <v>362</v>
      </c>
      <c r="JK24" s="35" t="s">
        <v>363</v>
      </c>
      <c r="JL24" s="35" t="s">
        <v>363</v>
      </c>
      <c r="JM24" s="35" t="s">
        <v>118</v>
      </c>
      <c r="JN24" s="40">
        <v>0</v>
      </c>
      <c r="JO24" s="35" t="s">
        <v>363</v>
      </c>
      <c r="JP24" s="35" t="s">
        <v>117</v>
      </c>
      <c r="JQ24" s="35" t="s">
        <v>363</v>
      </c>
      <c r="JS24" s="47">
        <v>9.19</v>
      </c>
      <c r="JT24" s="47">
        <v>9.19</v>
      </c>
      <c r="JU24" s="47">
        <v>9.19</v>
      </c>
      <c r="JV24" s="36" t="s">
        <v>15</v>
      </c>
      <c r="JW24" s="36">
        <v>5</v>
      </c>
      <c r="JX24" s="36">
        <v>5</v>
      </c>
      <c r="JY24" s="36">
        <v>5</v>
      </c>
      <c r="JZ24" s="36" t="s">
        <v>15</v>
      </c>
      <c r="KA24" s="48">
        <v>9.19</v>
      </c>
      <c r="KB24" s="36" t="s">
        <v>15</v>
      </c>
      <c r="KC24" s="36" t="s">
        <v>17</v>
      </c>
      <c r="KD24" s="35" t="s">
        <v>362</v>
      </c>
      <c r="KE24" s="35" t="s">
        <v>363</v>
      </c>
      <c r="KF24" s="35" t="s">
        <v>363</v>
      </c>
      <c r="KG24" s="35" t="s">
        <v>118</v>
      </c>
      <c r="KH24" s="40">
        <v>0</v>
      </c>
      <c r="KI24" s="35" t="s">
        <v>363</v>
      </c>
      <c r="KJ24" s="35" t="s">
        <v>117</v>
      </c>
      <c r="KK24" s="35" t="s">
        <v>363</v>
      </c>
      <c r="KM24" s="47">
        <v>8.99585</v>
      </c>
      <c r="KN24" s="47">
        <v>8.995000000000001</v>
      </c>
      <c r="KO24" s="47">
        <v>8.995000000000001</v>
      </c>
      <c r="KP24" s="36" t="s">
        <v>15</v>
      </c>
      <c r="KQ24" s="36">
        <v>1</v>
      </c>
      <c r="KR24" s="36">
        <v>1</v>
      </c>
      <c r="KS24" s="36">
        <v>1</v>
      </c>
      <c r="KT24" s="36" t="s">
        <v>15</v>
      </c>
      <c r="KU24" s="48">
        <v>8.995000000000001</v>
      </c>
      <c r="KV24" s="36" t="s">
        <v>15</v>
      </c>
      <c r="KW24" s="36" t="s">
        <v>17</v>
      </c>
      <c r="KX24" s="35" t="s">
        <v>362</v>
      </c>
      <c r="KY24" s="35" t="s">
        <v>363</v>
      </c>
      <c r="KZ24" s="35" t="s">
        <v>363</v>
      </c>
      <c r="LA24" s="35" t="s">
        <v>118</v>
      </c>
      <c r="LB24" s="40">
        <v>0</v>
      </c>
      <c r="LC24" s="35" t="s">
        <v>363</v>
      </c>
      <c r="LD24" s="35" t="s">
        <v>117</v>
      </c>
      <c r="LE24" s="35" t="s">
        <v>363</v>
      </c>
    </row>
    <row r="25">
      <c r="A25" s="0" t="s">
        <v>341</v>
      </c>
      <c r="B25" s="6" t="s">
        <v>342</v>
      </c>
      <c r="C25" s="0" t="s">
        <v>450</v>
      </c>
      <c r="D25" s="6">
        <v>30069</v>
      </c>
      <c r="E25" s="6" t="s">
        <v>344</v>
      </c>
      <c r="F25" s="0" t="s">
        <v>345</v>
      </c>
      <c r="G25" s="0" t="s">
        <v>40</v>
      </c>
      <c r="H25" s="6" t="s">
        <v>346</v>
      </c>
      <c r="I25" s="0" t="s">
        <v>347</v>
      </c>
      <c r="K25" s="0" t="s">
        <v>451</v>
      </c>
      <c r="L25" s="0" t="s">
        <v>452</v>
      </c>
      <c r="M25" s="0" t="s">
        <v>453</v>
      </c>
      <c r="N25" s="0" t="s">
        <v>351</v>
      </c>
      <c r="O25" s="33">
        <v>24</v>
      </c>
      <c r="P25" s="33">
        <v>580.8</v>
      </c>
      <c r="Q25" s="6" t="s">
        <v>15</v>
      </c>
      <c r="R25" s="0" t="s">
        <v>352</v>
      </c>
      <c r="S25" s="6" t="s">
        <v>425</v>
      </c>
      <c r="T25" s="0" t="s">
        <v>454</v>
      </c>
      <c r="U25" s="6" t="s">
        <v>15</v>
      </c>
      <c r="V25" s="6" t="s">
        <v>15</v>
      </c>
      <c r="W25" s="0" t="s">
        <v>62</v>
      </c>
      <c r="X25" s="6" t="s">
        <v>15</v>
      </c>
      <c r="Y25" s="6" t="s">
        <v>17</v>
      </c>
      <c r="Z25" s="34" t="s">
        <v>39</v>
      </c>
      <c r="AA25" s="6" t="s">
        <v>15</v>
      </c>
      <c r="AB25" s="0" t="s">
        <v>449</v>
      </c>
      <c r="AC25" s="6">
        <v>10</v>
      </c>
      <c r="AD25" s="6" t="s">
        <v>15</v>
      </c>
      <c r="AE25" s="6" t="s">
        <v>15</v>
      </c>
      <c r="AF25" s="6">
        <v>1867</v>
      </c>
      <c r="AG25" s="6">
        <v>160</v>
      </c>
      <c r="AH25" s="33">
        <v>50</v>
      </c>
      <c r="AI25" s="33">
        <v>170</v>
      </c>
      <c r="AJ25" s="33">
        <v>1</v>
      </c>
      <c r="AK25" s="6" t="s">
        <v>370</v>
      </c>
      <c r="AL25" s="33">
        <v>67</v>
      </c>
      <c r="AM25" s="0" t="s">
        <v>15</v>
      </c>
      <c r="AN25" s="0" t="s">
        <v>47</v>
      </c>
      <c r="AO25" s="6" t="s">
        <v>36</v>
      </c>
      <c r="AP25" s="6" t="s">
        <v>15</v>
      </c>
      <c r="AQ25" s="0" t="s">
        <v>357</v>
      </c>
      <c r="AR25" s="6" t="s">
        <v>15</v>
      </c>
      <c r="AS25" s="6" t="s">
        <v>15</v>
      </c>
      <c r="AT25" s="6" t="s">
        <v>17</v>
      </c>
      <c r="AU25" s="6" t="s">
        <v>15</v>
      </c>
      <c r="AV25" s="6" t="s">
        <v>17</v>
      </c>
      <c r="AW25" s="6" t="s">
        <v>15</v>
      </c>
      <c r="AX25" s="43" t="s">
        <v>359</v>
      </c>
      <c r="AY25" s="44">
        <v>0</v>
      </c>
      <c r="AZ25" s="43" t="s">
        <v>359</v>
      </c>
      <c r="BA25" s="44">
        <v>0</v>
      </c>
      <c r="BB25" s="43" t="s">
        <v>359</v>
      </c>
      <c r="BC25" s="44">
        <v>0</v>
      </c>
      <c r="BD25" s="43" t="s">
        <v>358</v>
      </c>
      <c r="BE25" s="44">
        <v>1078914.93</v>
      </c>
      <c r="BF25" s="43" t="s">
        <v>359</v>
      </c>
      <c r="BG25" s="44">
        <v>0</v>
      </c>
      <c r="BH25" s="43" t="s">
        <v>359</v>
      </c>
      <c r="BI25" s="44">
        <v>0</v>
      </c>
      <c r="BJ25" s="43" t="s">
        <v>359</v>
      </c>
      <c r="BK25" s="44">
        <v>0</v>
      </c>
      <c r="BL25" s="43" t="s">
        <v>359</v>
      </c>
      <c r="BM25" s="44">
        <v>0</v>
      </c>
      <c r="BN25" s="43" t="s">
        <v>359</v>
      </c>
      <c r="BO25" s="44">
        <v>0</v>
      </c>
      <c r="BP25" s="43" t="s">
        <v>359</v>
      </c>
      <c r="BQ25" s="44">
        <v>0</v>
      </c>
      <c r="BR25" s="43" t="s">
        <v>359</v>
      </c>
      <c r="BS25" s="44">
        <v>0</v>
      </c>
      <c r="BT25" s="6" t="s">
        <v>360</v>
      </c>
      <c r="BU25" s="6" t="s">
        <v>359</v>
      </c>
      <c r="BW25" s="0" t="s">
        <v>359</v>
      </c>
      <c r="BX25" s="0" t="s">
        <v>359</v>
      </c>
      <c r="BY25" s="0" t="s">
        <v>359</v>
      </c>
      <c r="BZ25" s="0" t="s">
        <v>359</v>
      </c>
      <c r="CA25" s="0" t="s">
        <v>359</v>
      </c>
      <c r="CB25" s="0" t="s">
        <v>359</v>
      </c>
      <c r="CC25" s="0" t="s">
        <v>359</v>
      </c>
      <c r="CD25" s="0" t="s">
        <v>359</v>
      </c>
      <c r="CE25" s="0" t="s">
        <v>359</v>
      </c>
      <c r="CF25" s="0" t="s">
        <v>359</v>
      </c>
      <c r="CG25" s="0" t="s">
        <v>359</v>
      </c>
      <c r="CI25" s="46">
        <v>9.6</v>
      </c>
      <c r="CJ25" s="46">
        <v>4.702999999999999</v>
      </c>
      <c r="CK25" s="46">
        <v>5.313</v>
      </c>
      <c r="CL25" s="6" t="s">
        <v>15</v>
      </c>
      <c r="CM25" s="6">
        <v>1</v>
      </c>
      <c r="CN25" s="6">
        <v>4</v>
      </c>
      <c r="CO25" s="6">
        <v>20</v>
      </c>
      <c r="CP25" s="6" t="s">
        <v>15</v>
      </c>
      <c r="CQ25" s="45">
        <v>4.702999999999999</v>
      </c>
      <c r="CR25" s="6" t="s">
        <v>17</v>
      </c>
      <c r="CS25" s="6" t="s">
        <v>15</v>
      </c>
      <c r="CU25" s="46">
        <v>9.6</v>
      </c>
      <c r="CV25" s="46">
        <v>4.702999999999999</v>
      </c>
      <c r="CW25" s="46">
        <v>5.313</v>
      </c>
      <c r="CX25" s="6" t="s">
        <v>15</v>
      </c>
      <c r="CY25" s="6">
        <v>1</v>
      </c>
      <c r="CZ25" s="6">
        <v>4</v>
      </c>
      <c r="DA25" s="6">
        <v>20</v>
      </c>
      <c r="DB25" s="6" t="s">
        <v>15</v>
      </c>
      <c r="DC25" s="45">
        <v>4.702999999999999</v>
      </c>
      <c r="DD25" s="6" t="s">
        <v>17</v>
      </c>
      <c r="DE25" s="6" t="s">
        <v>15</v>
      </c>
      <c r="DF25" s="0" t="s">
        <v>362</v>
      </c>
      <c r="DG25" s="0" t="s">
        <v>363</v>
      </c>
      <c r="DH25" s="0" t="s">
        <v>363</v>
      </c>
      <c r="DI25" s="0" t="s">
        <v>118</v>
      </c>
      <c r="DJ25" s="39">
        <v>0</v>
      </c>
      <c r="DK25" s="0" t="s">
        <v>363</v>
      </c>
      <c r="DL25" s="0" t="s">
        <v>117</v>
      </c>
      <c r="DM25" s="0" t="s">
        <v>363</v>
      </c>
      <c r="DO25" s="46">
        <v>9.4</v>
      </c>
      <c r="DP25" s="46">
        <v>4.619999999999999</v>
      </c>
      <c r="DQ25" s="46">
        <v>5.2459999999999996</v>
      </c>
      <c r="DR25" s="6" t="s">
        <v>15</v>
      </c>
      <c r="DS25" s="6">
        <v>2</v>
      </c>
      <c r="DT25" s="6">
        <v>5</v>
      </c>
      <c r="DU25" s="6">
        <v>21</v>
      </c>
      <c r="DV25" s="6" t="s">
        <v>15</v>
      </c>
      <c r="DW25" s="45">
        <v>4.619999999999999</v>
      </c>
      <c r="DX25" s="6" t="s">
        <v>17</v>
      </c>
      <c r="DY25" s="6" t="s">
        <v>15</v>
      </c>
      <c r="DZ25" s="0" t="s">
        <v>362</v>
      </c>
      <c r="EA25" s="0" t="s">
        <v>363</v>
      </c>
      <c r="EB25" s="0" t="s">
        <v>363</v>
      </c>
      <c r="EC25" s="0" t="s">
        <v>118</v>
      </c>
      <c r="ED25" s="39">
        <v>0</v>
      </c>
      <c r="EE25" s="0" t="s">
        <v>363</v>
      </c>
      <c r="EF25" s="0" t="s">
        <v>117</v>
      </c>
      <c r="EG25" s="0" t="s">
        <v>363</v>
      </c>
      <c r="EI25" s="46">
        <v>9.2</v>
      </c>
      <c r="EJ25" s="46">
        <v>4.537</v>
      </c>
      <c r="EK25" s="46">
        <v>5.179</v>
      </c>
      <c r="EL25" s="6" t="s">
        <v>15</v>
      </c>
      <c r="EM25" s="6">
        <v>3</v>
      </c>
      <c r="EN25" s="6">
        <v>6</v>
      </c>
      <c r="EO25" s="6">
        <v>22</v>
      </c>
      <c r="EP25" s="6" t="s">
        <v>15</v>
      </c>
      <c r="EQ25" s="45">
        <v>4.537</v>
      </c>
      <c r="ER25" s="6" t="s">
        <v>17</v>
      </c>
      <c r="ES25" s="6" t="s">
        <v>15</v>
      </c>
      <c r="ET25" s="0" t="s">
        <v>362</v>
      </c>
      <c r="EU25" s="0" t="s">
        <v>363</v>
      </c>
      <c r="EV25" s="0" t="s">
        <v>363</v>
      </c>
      <c r="EW25" s="0" t="s">
        <v>118</v>
      </c>
      <c r="EX25" s="39">
        <v>0</v>
      </c>
      <c r="EY25" s="0" t="s">
        <v>363</v>
      </c>
      <c r="EZ25" s="0" t="s">
        <v>117</v>
      </c>
      <c r="FA25" s="0" t="s">
        <v>363</v>
      </c>
      <c r="FC25" s="46">
        <v>9.99</v>
      </c>
      <c r="FD25" s="46">
        <v>9.99</v>
      </c>
      <c r="FE25" s="46">
        <v>9.99</v>
      </c>
      <c r="FF25" s="6" t="s">
        <v>15</v>
      </c>
      <c r="FG25" s="6">
        <v>1</v>
      </c>
      <c r="FH25" s="6">
        <v>1</v>
      </c>
      <c r="FI25" s="6">
        <v>1</v>
      </c>
      <c r="FJ25" s="6" t="s">
        <v>15</v>
      </c>
      <c r="FK25" s="45">
        <v>9.99</v>
      </c>
      <c r="FL25" s="6" t="s">
        <v>15</v>
      </c>
      <c r="FM25" s="6" t="s">
        <v>15</v>
      </c>
      <c r="FN25" s="0" t="s">
        <v>362</v>
      </c>
      <c r="FO25" s="0" t="s">
        <v>363</v>
      </c>
      <c r="FP25" s="0" t="s">
        <v>136</v>
      </c>
      <c r="FQ25" s="0" t="s">
        <v>110</v>
      </c>
      <c r="FR25" s="39">
        <v>1078914.93</v>
      </c>
      <c r="FS25" s="0" t="s">
        <v>363</v>
      </c>
      <c r="FT25" s="0" t="s">
        <v>124</v>
      </c>
      <c r="FU25" s="0" t="s">
        <v>363</v>
      </c>
      <c r="FW25" s="46">
        <v>9.790000000000001</v>
      </c>
      <c r="FX25" s="46">
        <v>9.790000000000001</v>
      </c>
      <c r="FY25" s="46">
        <v>9.790000000000001</v>
      </c>
      <c r="FZ25" s="6" t="s">
        <v>15</v>
      </c>
      <c r="GA25" s="6">
        <v>2</v>
      </c>
      <c r="GB25" s="6">
        <v>2</v>
      </c>
      <c r="GC25" s="6">
        <v>2</v>
      </c>
      <c r="GD25" s="6" t="s">
        <v>15</v>
      </c>
      <c r="GE25" s="45">
        <v>9.790000000000001</v>
      </c>
      <c r="GF25" s="6" t="s">
        <v>15</v>
      </c>
      <c r="GG25" s="6" t="s">
        <v>15</v>
      </c>
      <c r="GH25" s="0" t="s">
        <v>362</v>
      </c>
      <c r="GI25" s="0" t="s">
        <v>363</v>
      </c>
      <c r="GJ25" s="0" t="s">
        <v>363</v>
      </c>
      <c r="GK25" s="0" t="s">
        <v>118</v>
      </c>
      <c r="GL25" s="39">
        <v>0</v>
      </c>
      <c r="GM25" s="0" t="s">
        <v>363</v>
      </c>
      <c r="GN25" s="0" t="s">
        <v>117</v>
      </c>
      <c r="GO25" s="0" t="s">
        <v>363</v>
      </c>
      <c r="GQ25" s="46">
        <v>9.59</v>
      </c>
      <c r="GR25" s="46">
        <v>9.59</v>
      </c>
      <c r="GS25" s="46">
        <v>9.59</v>
      </c>
      <c r="GT25" s="6" t="s">
        <v>15</v>
      </c>
      <c r="GU25" s="6">
        <v>3</v>
      </c>
      <c r="GV25" s="6">
        <v>3</v>
      </c>
      <c r="GW25" s="6">
        <v>3</v>
      </c>
      <c r="GX25" s="6" t="s">
        <v>15</v>
      </c>
      <c r="GY25" s="45">
        <v>9.59</v>
      </c>
      <c r="GZ25" s="6" t="s">
        <v>15</v>
      </c>
      <c r="HA25" s="6" t="s">
        <v>15</v>
      </c>
      <c r="HB25" s="0" t="s">
        <v>362</v>
      </c>
      <c r="HC25" s="0" t="s">
        <v>363</v>
      </c>
      <c r="HD25" s="0" t="s">
        <v>363</v>
      </c>
      <c r="HE25" s="0" t="s">
        <v>118</v>
      </c>
      <c r="HF25" s="39">
        <v>0</v>
      </c>
      <c r="HG25" s="0" t="s">
        <v>363</v>
      </c>
      <c r="HH25" s="0" t="s">
        <v>117</v>
      </c>
      <c r="HI25" s="0" t="s">
        <v>363</v>
      </c>
      <c r="HK25" s="46">
        <v>9.39</v>
      </c>
      <c r="HL25" s="46">
        <v>9.39</v>
      </c>
      <c r="HM25" s="46">
        <v>9.39</v>
      </c>
      <c r="HN25" s="6" t="s">
        <v>15</v>
      </c>
      <c r="HO25" s="6">
        <v>4</v>
      </c>
      <c r="HP25" s="6">
        <v>4</v>
      </c>
      <c r="HQ25" s="6">
        <v>4</v>
      </c>
      <c r="HR25" s="6" t="s">
        <v>15</v>
      </c>
      <c r="HS25" s="45">
        <v>9.39</v>
      </c>
      <c r="HT25" s="6" t="s">
        <v>15</v>
      </c>
      <c r="HU25" s="6" t="s">
        <v>15</v>
      </c>
      <c r="HV25" s="0" t="s">
        <v>362</v>
      </c>
      <c r="HW25" s="0" t="s">
        <v>363</v>
      </c>
      <c r="HX25" s="0" t="s">
        <v>363</v>
      </c>
      <c r="HY25" s="0" t="s">
        <v>118</v>
      </c>
      <c r="HZ25" s="39">
        <v>0</v>
      </c>
      <c r="IA25" s="0" t="s">
        <v>363</v>
      </c>
      <c r="IB25" s="0" t="s">
        <v>117</v>
      </c>
      <c r="IC25" s="0" t="s">
        <v>363</v>
      </c>
      <c r="IE25" s="46">
        <v>9.19</v>
      </c>
      <c r="IF25" s="46">
        <v>9.19</v>
      </c>
      <c r="IG25" s="46">
        <v>9.19</v>
      </c>
      <c r="IH25" s="6" t="s">
        <v>15</v>
      </c>
      <c r="II25" s="6">
        <v>5</v>
      </c>
      <c r="IJ25" s="6">
        <v>5</v>
      </c>
      <c r="IK25" s="6">
        <v>5</v>
      </c>
      <c r="IL25" s="6" t="s">
        <v>15</v>
      </c>
      <c r="IM25" s="45">
        <v>9.19</v>
      </c>
      <c r="IN25" s="6" t="s">
        <v>15</v>
      </c>
      <c r="IO25" s="6" t="s">
        <v>15</v>
      </c>
      <c r="IP25" s="0" t="s">
        <v>362</v>
      </c>
      <c r="IQ25" s="0" t="s">
        <v>363</v>
      </c>
      <c r="IR25" s="0" t="s">
        <v>363</v>
      </c>
      <c r="IS25" s="0" t="s">
        <v>118</v>
      </c>
      <c r="IT25" s="39">
        <v>0</v>
      </c>
      <c r="IU25" s="0" t="s">
        <v>363</v>
      </c>
      <c r="IV25" s="0" t="s">
        <v>117</v>
      </c>
      <c r="IW25" s="0" t="s">
        <v>363</v>
      </c>
      <c r="IY25" s="46">
        <v>8.99585</v>
      </c>
      <c r="IZ25" s="46">
        <v>8.995000000000001</v>
      </c>
      <c r="JA25" s="46">
        <v>8.995000000000001</v>
      </c>
      <c r="JB25" s="6" t="s">
        <v>15</v>
      </c>
      <c r="JC25" s="6">
        <v>1</v>
      </c>
      <c r="JD25" s="6">
        <v>1</v>
      </c>
      <c r="JE25" s="6">
        <v>1</v>
      </c>
      <c r="JF25" s="6" t="s">
        <v>15</v>
      </c>
      <c r="JG25" s="45">
        <v>8.995000000000001</v>
      </c>
      <c r="JH25" s="6" t="s">
        <v>15</v>
      </c>
      <c r="JI25" s="6" t="s">
        <v>15</v>
      </c>
      <c r="JJ25" s="0" t="s">
        <v>362</v>
      </c>
      <c r="JK25" s="0" t="s">
        <v>363</v>
      </c>
      <c r="JL25" s="0" t="s">
        <v>363</v>
      </c>
      <c r="JM25" s="0" t="s">
        <v>118</v>
      </c>
      <c r="JN25" s="39">
        <v>0</v>
      </c>
      <c r="JO25" s="0" t="s">
        <v>363</v>
      </c>
      <c r="JP25" s="0" t="s">
        <v>117</v>
      </c>
      <c r="JQ25" s="0" t="s">
        <v>363</v>
      </c>
      <c r="JS25" s="46">
        <v>8.91285</v>
      </c>
      <c r="JT25" s="46">
        <v>8.895000000000001</v>
      </c>
      <c r="JU25" s="46">
        <v>8.895000000000001</v>
      </c>
      <c r="JV25" s="6" t="s">
        <v>15</v>
      </c>
      <c r="JW25" s="6">
        <v>2</v>
      </c>
      <c r="JX25" s="6">
        <v>2</v>
      </c>
      <c r="JY25" s="6">
        <v>2</v>
      </c>
      <c r="JZ25" s="6" t="s">
        <v>15</v>
      </c>
      <c r="KA25" s="45">
        <v>8.895000000000001</v>
      </c>
      <c r="KB25" s="6" t="s">
        <v>15</v>
      </c>
      <c r="KC25" s="6" t="s">
        <v>15</v>
      </c>
      <c r="KD25" s="0" t="s">
        <v>362</v>
      </c>
      <c r="KE25" s="0" t="s">
        <v>363</v>
      </c>
      <c r="KF25" s="0" t="s">
        <v>363</v>
      </c>
      <c r="KG25" s="0" t="s">
        <v>118</v>
      </c>
      <c r="KH25" s="39">
        <v>0</v>
      </c>
      <c r="KI25" s="0" t="s">
        <v>363</v>
      </c>
      <c r="KJ25" s="0" t="s">
        <v>117</v>
      </c>
      <c r="KK25" s="0" t="s">
        <v>363</v>
      </c>
      <c r="KM25" s="46">
        <v>8.82985</v>
      </c>
      <c r="KN25" s="46">
        <v>8.795000000000002</v>
      </c>
      <c r="KO25" s="46">
        <v>8.795000000000002</v>
      </c>
      <c r="KP25" s="6" t="s">
        <v>15</v>
      </c>
      <c r="KQ25" s="6">
        <v>3</v>
      </c>
      <c r="KR25" s="6">
        <v>3</v>
      </c>
      <c r="KS25" s="6">
        <v>3</v>
      </c>
      <c r="KT25" s="6" t="s">
        <v>15</v>
      </c>
      <c r="KU25" s="45">
        <v>8.795000000000002</v>
      </c>
      <c r="KV25" s="6" t="s">
        <v>15</v>
      </c>
      <c r="KW25" s="6" t="s">
        <v>15</v>
      </c>
      <c r="KX25" s="0" t="s">
        <v>362</v>
      </c>
      <c r="KY25" s="0" t="s">
        <v>363</v>
      </c>
      <c r="KZ25" s="0" t="s">
        <v>363</v>
      </c>
      <c r="LA25" s="0" t="s">
        <v>118</v>
      </c>
      <c r="LB25" s="39">
        <v>0</v>
      </c>
      <c r="LC25" s="0" t="s">
        <v>363</v>
      </c>
      <c r="LD25" s="0" t="s">
        <v>117</v>
      </c>
      <c r="LE25" s="0" t="s">
        <v>363</v>
      </c>
    </row>
    <row r="26">
      <c r="A26" s="35" t="s">
        <v>341</v>
      </c>
      <c r="B26" s="36" t="s">
        <v>342</v>
      </c>
      <c r="C26" s="35" t="s">
        <v>455</v>
      </c>
      <c r="D26" s="36">
        <v>30070</v>
      </c>
      <c r="E26" s="36" t="s">
        <v>344</v>
      </c>
      <c r="F26" s="35" t="s">
        <v>345</v>
      </c>
      <c r="G26" s="35" t="s">
        <v>40</v>
      </c>
      <c r="H26" s="36" t="s">
        <v>346</v>
      </c>
      <c r="I26" s="35" t="s">
        <v>347</v>
      </c>
      <c r="J26" s="35"/>
      <c r="K26" s="35" t="s">
        <v>456</v>
      </c>
      <c r="L26" s="35" t="s">
        <v>457</v>
      </c>
      <c r="M26" s="35" t="s">
        <v>458</v>
      </c>
      <c r="N26" s="35" t="s">
        <v>351</v>
      </c>
      <c r="O26" s="37">
        <v>53</v>
      </c>
      <c r="P26" s="37">
        <v>1287.9</v>
      </c>
      <c r="Q26" s="36" t="s">
        <v>15</v>
      </c>
      <c r="R26" s="35" t="s">
        <v>352</v>
      </c>
      <c r="S26" s="36" t="s">
        <v>368</v>
      </c>
      <c r="T26" s="35" t="s">
        <v>369</v>
      </c>
      <c r="U26" s="36" t="s">
        <v>15</v>
      </c>
      <c r="V26" s="36" t="s">
        <v>15</v>
      </c>
      <c r="W26" s="35" t="s">
        <v>62</v>
      </c>
      <c r="X26" s="36" t="s">
        <v>15</v>
      </c>
      <c r="Y26" s="36" t="s">
        <v>17</v>
      </c>
      <c r="Z26" s="38" t="s">
        <v>39</v>
      </c>
      <c r="AA26" s="36" t="s">
        <v>15</v>
      </c>
      <c r="AB26" s="35" t="s">
        <v>354</v>
      </c>
      <c r="AC26" s="36">
        <v>5</v>
      </c>
      <c r="AD26" s="36" t="s">
        <v>15</v>
      </c>
      <c r="AE26" s="36" t="s">
        <v>15</v>
      </c>
      <c r="AF26" s="36">
        <v>1956</v>
      </c>
      <c r="AG26" s="36">
        <v>71</v>
      </c>
      <c r="AH26" s="37">
        <v>50</v>
      </c>
      <c r="AI26" s="37">
        <v>254</v>
      </c>
      <c r="AJ26" s="37">
        <v>1</v>
      </c>
      <c r="AK26" s="36" t="s">
        <v>355</v>
      </c>
      <c r="AL26" s="37">
        <v>48</v>
      </c>
      <c r="AM26" s="35" t="s">
        <v>15</v>
      </c>
      <c r="AN26" s="35" t="s">
        <v>342</v>
      </c>
      <c r="AO26" s="36" t="s">
        <v>356</v>
      </c>
      <c r="AP26" s="36" t="s">
        <v>15</v>
      </c>
      <c r="AQ26" s="35" t="s">
        <v>357</v>
      </c>
      <c r="AR26" s="36" t="s">
        <v>15</v>
      </c>
      <c r="AS26" s="36" t="s">
        <v>15</v>
      </c>
      <c r="AT26" s="36" t="s">
        <v>17</v>
      </c>
      <c r="AU26" s="36" t="s">
        <v>15</v>
      </c>
      <c r="AV26" s="36" t="s">
        <v>17</v>
      </c>
      <c r="AW26" s="36" t="s">
        <v>15</v>
      </c>
      <c r="AX26" s="41" t="s">
        <v>359</v>
      </c>
      <c r="AY26" s="42">
        <v>0</v>
      </c>
      <c r="AZ26" s="41" t="s">
        <v>383</v>
      </c>
      <c r="BA26" s="42">
        <v>1459190.7</v>
      </c>
      <c r="BB26" s="41" t="s">
        <v>359</v>
      </c>
      <c r="BC26" s="42">
        <v>0</v>
      </c>
      <c r="BD26" s="41" t="s">
        <v>359</v>
      </c>
      <c r="BE26" s="42">
        <v>0</v>
      </c>
      <c r="BF26" s="41" t="s">
        <v>359</v>
      </c>
      <c r="BG26" s="42">
        <v>0</v>
      </c>
      <c r="BH26" s="41" t="s">
        <v>359</v>
      </c>
      <c r="BI26" s="42">
        <v>0</v>
      </c>
      <c r="BJ26" s="41" t="s">
        <v>359</v>
      </c>
      <c r="BK26" s="42">
        <v>0</v>
      </c>
      <c r="BL26" s="41" t="s">
        <v>359</v>
      </c>
      <c r="BM26" s="42">
        <v>0</v>
      </c>
      <c r="BN26" s="41" t="s">
        <v>359</v>
      </c>
      <c r="BO26" s="42">
        <v>0</v>
      </c>
      <c r="BP26" s="41" t="s">
        <v>359</v>
      </c>
      <c r="BQ26" s="42">
        <v>0</v>
      </c>
      <c r="BR26" s="41" t="s">
        <v>359</v>
      </c>
      <c r="BS26" s="42">
        <v>0</v>
      </c>
      <c r="BT26" s="36" t="s">
        <v>360</v>
      </c>
      <c r="BU26" s="36" t="s">
        <v>359</v>
      </c>
      <c r="BV26" s="35"/>
      <c r="BW26" s="35" t="s">
        <v>359</v>
      </c>
      <c r="BX26" s="35" t="s">
        <v>361</v>
      </c>
      <c r="BY26" s="35" t="s">
        <v>359</v>
      </c>
      <c r="BZ26" s="35" t="s">
        <v>359</v>
      </c>
      <c r="CA26" s="35" t="s">
        <v>359</v>
      </c>
      <c r="CB26" s="35" t="s">
        <v>359</v>
      </c>
      <c r="CC26" s="35" t="s">
        <v>359</v>
      </c>
      <c r="CD26" s="35" t="s">
        <v>359</v>
      </c>
      <c r="CE26" s="35" t="s">
        <v>359</v>
      </c>
      <c r="CF26" s="35" t="s">
        <v>359</v>
      </c>
      <c r="CG26" s="35" t="s">
        <v>359</v>
      </c>
      <c r="CI26" s="47">
        <v>4.303999999999999</v>
      </c>
      <c r="CJ26" s="47">
        <v>4.329000000000001</v>
      </c>
      <c r="CK26" s="47">
        <v>4.225</v>
      </c>
      <c r="CL26" s="36" t="s">
        <v>15</v>
      </c>
      <c r="CM26" s="36">
        <v>12</v>
      </c>
      <c r="CN26" s="36">
        <v>12</v>
      </c>
      <c r="CO26" s="36">
        <v>16</v>
      </c>
      <c r="CP26" s="36" t="s">
        <v>15</v>
      </c>
      <c r="CQ26" s="48">
        <v>4.225</v>
      </c>
      <c r="CR26" s="36" t="s">
        <v>17</v>
      </c>
      <c r="CS26" s="36" t="s">
        <v>17</v>
      </c>
      <c r="CU26" s="47">
        <v>4.303999999999999</v>
      </c>
      <c r="CV26" s="47">
        <v>4.329000000000001</v>
      </c>
      <c r="CW26" s="47">
        <v>4.225</v>
      </c>
      <c r="CX26" s="36" t="s">
        <v>15</v>
      </c>
      <c r="CY26" s="36">
        <v>12</v>
      </c>
      <c r="CZ26" s="36">
        <v>12</v>
      </c>
      <c r="DA26" s="36">
        <v>16</v>
      </c>
      <c r="DB26" s="36" t="s">
        <v>15</v>
      </c>
      <c r="DC26" s="48">
        <v>4.225</v>
      </c>
      <c r="DD26" s="36" t="s">
        <v>17</v>
      </c>
      <c r="DE26" s="36" t="s">
        <v>17</v>
      </c>
      <c r="DF26" s="35" t="s">
        <v>362</v>
      </c>
      <c r="DG26" s="35" t="s">
        <v>363</v>
      </c>
      <c r="DH26" s="35" t="s">
        <v>363</v>
      </c>
      <c r="DI26" s="35" t="s">
        <v>118</v>
      </c>
      <c r="DJ26" s="40">
        <v>0</v>
      </c>
      <c r="DK26" s="35" t="s">
        <v>363</v>
      </c>
      <c r="DL26" s="35" t="s">
        <v>117</v>
      </c>
      <c r="DM26" s="35" t="s">
        <v>363</v>
      </c>
      <c r="DO26" s="47">
        <v>9.99</v>
      </c>
      <c r="DP26" s="47">
        <v>9.99</v>
      </c>
      <c r="DQ26" s="47">
        <v>9.99</v>
      </c>
      <c r="DR26" s="36" t="s">
        <v>15</v>
      </c>
      <c r="DS26" s="36">
        <v>1</v>
      </c>
      <c r="DT26" s="36">
        <v>1</v>
      </c>
      <c r="DU26" s="36">
        <v>1</v>
      </c>
      <c r="DV26" s="36" t="s">
        <v>15</v>
      </c>
      <c r="DW26" s="48">
        <v>9.99</v>
      </c>
      <c r="DX26" s="36" t="s">
        <v>15</v>
      </c>
      <c r="DY26" s="36" t="s">
        <v>17</v>
      </c>
      <c r="DZ26" s="35" t="s">
        <v>362</v>
      </c>
      <c r="EA26" s="35" t="s">
        <v>363</v>
      </c>
      <c r="EB26" s="35" t="s">
        <v>136</v>
      </c>
      <c r="EC26" s="35" t="s">
        <v>108</v>
      </c>
      <c r="ED26" s="40">
        <v>1459190.7</v>
      </c>
      <c r="EE26" s="35" t="s">
        <v>363</v>
      </c>
      <c r="EF26" s="35" t="s">
        <v>124</v>
      </c>
      <c r="EG26" s="35" t="s">
        <v>363</v>
      </c>
      <c r="EI26" s="47">
        <v>9.790000000000001</v>
      </c>
      <c r="EJ26" s="47">
        <v>9.790000000000001</v>
      </c>
      <c r="EK26" s="47">
        <v>9.790000000000001</v>
      </c>
      <c r="EL26" s="36" t="s">
        <v>15</v>
      </c>
      <c r="EM26" s="36">
        <v>2</v>
      </c>
      <c r="EN26" s="36">
        <v>2</v>
      </c>
      <c r="EO26" s="36">
        <v>2</v>
      </c>
      <c r="EP26" s="36" t="s">
        <v>15</v>
      </c>
      <c r="EQ26" s="48">
        <v>9.790000000000001</v>
      </c>
      <c r="ER26" s="36" t="s">
        <v>15</v>
      </c>
      <c r="ES26" s="36" t="s">
        <v>17</v>
      </c>
      <c r="ET26" s="35" t="s">
        <v>362</v>
      </c>
      <c r="EU26" s="35" t="s">
        <v>363</v>
      </c>
      <c r="EV26" s="35" t="s">
        <v>363</v>
      </c>
      <c r="EW26" s="35" t="s">
        <v>118</v>
      </c>
      <c r="EX26" s="40">
        <v>0</v>
      </c>
      <c r="EY26" s="35" t="s">
        <v>363</v>
      </c>
      <c r="EZ26" s="35" t="s">
        <v>117</v>
      </c>
      <c r="FA26" s="35" t="s">
        <v>363</v>
      </c>
      <c r="FC26" s="47">
        <v>9.59</v>
      </c>
      <c r="FD26" s="47">
        <v>9.59</v>
      </c>
      <c r="FE26" s="47">
        <v>9.59</v>
      </c>
      <c r="FF26" s="36" t="s">
        <v>15</v>
      </c>
      <c r="FG26" s="36">
        <v>3</v>
      </c>
      <c r="FH26" s="36">
        <v>3</v>
      </c>
      <c r="FI26" s="36">
        <v>3</v>
      </c>
      <c r="FJ26" s="36" t="s">
        <v>15</v>
      </c>
      <c r="FK26" s="48">
        <v>9.59</v>
      </c>
      <c r="FL26" s="36" t="s">
        <v>15</v>
      </c>
      <c r="FM26" s="36" t="s">
        <v>17</v>
      </c>
      <c r="FN26" s="35" t="s">
        <v>362</v>
      </c>
      <c r="FO26" s="35" t="s">
        <v>363</v>
      </c>
      <c r="FP26" s="35" t="s">
        <v>363</v>
      </c>
      <c r="FQ26" s="35" t="s">
        <v>118</v>
      </c>
      <c r="FR26" s="40">
        <v>0</v>
      </c>
      <c r="FS26" s="35" t="s">
        <v>363</v>
      </c>
      <c r="FT26" s="35" t="s">
        <v>117</v>
      </c>
      <c r="FU26" s="35" t="s">
        <v>363</v>
      </c>
      <c r="FW26" s="47">
        <v>9.39</v>
      </c>
      <c r="FX26" s="47">
        <v>9.39</v>
      </c>
      <c r="FY26" s="47">
        <v>9.39</v>
      </c>
      <c r="FZ26" s="36" t="s">
        <v>15</v>
      </c>
      <c r="GA26" s="36">
        <v>4</v>
      </c>
      <c r="GB26" s="36">
        <v>4</v>
      </c>
      <c r="GC26" s="36">
        <v>4</v>
      </c>
      <c r="GD26" s="36" t="s">
        <v>15</v>
      </c>
      <c r="GE26" s="48">
        <v>9.39</v>
      </c>
      <c r="GF26" s="36" t="s">
        <v>15</v>
      </c>
      <c r="GG26" s="36" t="s">
        <v>17</v>
      </c>
      <c r="GH26" s="35" t="s">
        <v>362</v>
      </c>
      <c r="GI26" s="35" t="s">
        <v>363</v>
      </c>
      <c r="GJ26" s="35" t="s">
        <v>363</v>
      </c>
      <c r="GK26" s="35" t="s">
        <v>118</v>
      </c>
      <c r="GL26" s="40">
        <v>0</v>
      </c>
      <c r="GM26" s="35" t="s">
        <v>363</v>
      </c>
      <c r="GN26" s="35" t="s">
        <v>117</v>
      </c>
      <c r="GO26" s="35" t="s">
        <v>363</v>
      </c>
      <c r="GQ26" s="47">
        <v>9.19</v>
      </c>
      <c r="GR26" s="47">
        <v>9.19</v>
      </c>
      <c r="GS26" s="47">
        <v>9.19</v>
      </c>
      <c r="GT26" s="36" t="s">
        <v>15</v>
      </c>
      <c r="GU26" s="36">
        <v>5</v>
      </c>
      <c r="GV26" s="36">
        <v>5</v>
      </c>
      <c r="GW26" s="36">
        <v>5</v>
      </c>
      <c r="GX26" s="36" t="s">
        <v>15</v>
      </c>
      <c r="GY26" s="48">
        <v>9.19</v>
      </c>
      <c r="GZ26" s="36" t="s">
        <v>15</v>
      </c>
      <c r="HA26" s="36" t="s">
        <v>17</v>
      </c>
      <c r="HB26" s="35" t="s">
        <v>362</v>
      </c>
      <c r="HC26" s="35" t="s">
        <v>363</v>
      </c>
      <c r="HD26" s="35" t="s">
        <v>363</v>
      </c>
      <c r="HE26" s="35" t="s">
        <v>118</v>
      </c>
      <c r="HF26" s="40">
        <v>0</v>
      </c>
      <c r="HG26" s="35" t="s">
        <v>363</v>
      </c>
      <c r="HH26" s="35" t="s">
        <v>117</v>
      </c>
      <c r="HI26" s="35" t="s">
        <v>363</v>
      </c>
      <c r="HK26" s="47">
        <v>8.99375</v>
      </c>
      <c r="HL26" s="47">
        <v>8.99685</v>
      </c>
      <c r="HM26" s="47">
        <v>8.99685</v>
      </c>
      <c r="HN26" s="36" t="s">
        <v>15</v>
      </c>
      <c r="HO26" s="36">
        <v>1</v>
      </c>
      <c r="HP26" s="36">
        <v>1</v>
      </c>
      <c r="HQ26" s="36">
        <v>1</v>
      </c>
      <c r="HR26" s="36" t="s">
        <v>15</v>
      </c>
      <c r="HS26" s="48">
        <v>8.99375</v>
      </c>
      <c r="HT26" s="36" t="s">
        <v>15</v>
      </c>
      <c r="HU26" s="36" t="s">
        <v>17</v>
      </c>
      <c r="HV26" s="35" t="s">
        <v>362</v>
      </c>
      <c r="HW26" s="35" t="s">
        <v>363</v>
      </c>
      <c r="HX26" s="35" t="s">
        <v>363</v>
      </c>
      <c r="HY26" s="35" t="s">
        <v>118</v>
      </c>
      <c r="HZ26" s="40">
        <v>0</v>
      </c>
      <c r="IA26" s="35" t="s">
        <v>363</v>
      </c>
      <c r="IB26" s="35" t="s">
        <v>117</v>
      </c>
      <c r="IC26" s="35" t="s">
        <v>363</v>
      </c>
      <c r="IE26" s="47">
        <v>8.86875</v>
      </c>
      <c r="IF26" s="47">
        <v>8.93385</v>
      </c>
      <c r="IG26" s="47">
        <v>8.93385</v>
      </c>
      <c r="IH26" s="36" t="s">
        <v>15</v>
      </c>
      <c r="II26" s="36">
        <v>2</v>
      </c>
      <c r="IJ26" s="36">
        <v>2</v>
      </c>
      <c r="IK26" s="36">
        <v>2</v>
      </c>
      <c r="IL26" s="36" t="s">
        <v>15</v>
      </c>
      <c r="IM26" s="48">
        <v>8.86875</v>
      </c>
      <c r="IN26" s="36" t="s">
        <v>15</v>
      </c>
      <c r="IO26" s="36" t="s">
        <v>17</v>
      </c>
      <c r="IP26" s="35" t="s">
        <v>362</v>
      </c>
      <c r="IQ26" s="35" t="s">
        <v>363</v>
      </c>
      <c r="IR26" s="35" t="s">
        <v>363</v>
      </c>
      <c r="IS26" s="35" t="s">
        <v>118</v>
      </c>
      <c r="IT26" s="40">
        <v>0</v>
      </c>
      <c r="IU26" s="35" t="s">
        <v>363</v>
      </c>
      <c r="IV26" s="35" t="s">
        <v>117</v>
      </c>
      <c r="IW26" s="35" t="s">
        <v>363</v>
      </c>
      <c r="IY26" s="47">
        <v>8.74375</v>
      </c>
      <c r="IZ26" s="47">
        <v>8.87085</v>
      </c>
      <c r="JA26" s="47">
        <v>8.87085</v>
      </c>
      <c r="JB26" s="36" t="s">
        <v>15</v>
      </c>
      <c r="JC26" s="36">
        <v>3</v>
      </c>
      <c r="JD26" s="36">
        <v>3</v>
      </c>
      <c r="JE26" s="36">
        <v>3</v>
      </c>
      <c r="JF26" s="36" t="s">
        <v>15</v>
      </c>
      <c r="JG26" s="48">
        <v>8.74375</v>
      </c>
      <c r="JH26" s="36" t="s">
        <v>15</v>
      </c>
      <c r="JI26" s="36" t="s">
        <v>17</v>
      </c>
      <c r="JJ26" s="35" t="s">
        <v>362</v>
      </c>
      <c r="JK26" s="35" t="s">
        <v>363</v>
      </c>
      <c r="JL26" s="35" t="s">
        <v>363</v>
      </c>
      <c r="JM26" s="35" t="s">
        <v>118</v>
      </c>
      <c r="JN26" s="40">
        <v>0</v>
      </c>
      <c r="JO26" s="35" t="s">
        <v>363</v>
      </c>
      <c r="JP26" s="35" t="s">
        <v>117</v>
      </c>
      <c r="JQ26" s="35" t="s">
        <v>363</v>
      </c>
      <c r="JS26" s="47">
        <v>8.61875</v>
      </c>
      <c r="JT26" s="47">
        <v>8.80785</v>
      </c>
      <c r="JU26" s="47">
        <v>8.80785</v>
      </c>
      <c r="JV26" s="36" t="s">
        <v>15</v>
      </c>
      <c r="JW26" s="36">
        <v>4</v>
      </c>
      <c r="JX26" s="36">
        <v>4</v>
      </c>
      <c r="JY26" s="36">
        <v>4</v>
      </c>
      <c r="JZ26" s="36" t="s">
        <v>15</v>
      </c>
      <c r="KA26" s="48">
        <v>8.61875</v>
      </c>
      <c r="KB26" s="36" t="s">
        <v>15</v>
      </c>
      <c r="KC26" s="36" t="s">
        <v>17</v>
      </c>
      <c r="KD26" s="35" t="s">
        <v>362</v>
      </c>
      <c r="KE26" s="35" t="s">
        <v>363</v>
      </c>
      <c r="KF26" s="35" t="s">
        <v>363</v>
      </c>
      <c r="KG26" s="35" t="s">
        <v>118</v>
      </c>
      <c r="KH26" s="40">
        <v>0</v>
      </c>
      <c r="KI26" s="35" t="s">
        <v>363</v>
      </c>
      <c r="KJ26" s="35" t="s">
        <v>117</v>
      </c>
      <c r="KK26" s="35" t="s">
        <v>363</v>
      </c>
      <c r="KM26" s="47">
        <v>8.49375</v>
      </c>
      <c r="KN26" s="47">
        <v>8.74485</v>
      </c>
      <c r="KO26" s="47">
        <v>8.74485</v>
      </c>
      <c r="KP26" s="36" t="s">
        <v>15</v>
      </c>
      <c r="KQ26" s="36">
        <v>5</v>
      </c>
      <c r="KR26" s="36">
        <v>5</v>
      </c>
      <c r="KS26" s="36">
        <v>5</v>
      </c>
      <c r="KT26" s="36" t="s">
        <v>15</v>
      </c>
      <c r="KU26" s="48">
        <v>8.49375</v>
      </c>
      <c r="KV26" s="36" t="s">
        <v>15</v>
      </c>
      <c r="KW26" s="36" t="s">
        <v>17</v>
      </c>
      <c r="KX26" s="35" t="s">
        <v>362</v>
      </c>
      <c r="KY26" s="35" t="s">
        <v>363</v>
      </c>
      <c r="KZ26" s="35" t="s">
        <v>363</v>
      </c>
      <c r="LA26" s="35" t="s">
        <v>118</v>
      </c>
      <c r="LB26" s="40">
        <v>0</v>
      </c>
      <c r="LC26" s="35" t="s">
        <v>363</v>
      </c>
      <c r="LD26" s="35" t="s">
        <v>117</v>
      </c>
      <c r="LE26" s="35" t="s">
        <v>363</v>
      </c>
    </row>
  </sheetData>
  <autoFilter ref="A5:LE5"/>
  <mergeCells>
    <mergeCell ref="A2:D2"/>
    <mergeCell ref="E2:N2"/>
    <mergeCell ref="O2:V2"/>
    <mergeCell ref="W2:AA2"/>
    <mergeCell ref="AB2:AN2"/>
    <mergeCell ref="AO2:AW2"/>
    <mergeCell ref="AR3:AW3"/>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L4"/>
    <mergeCell ref="AM3:AM4"/>
    <mergeCell ref="AN3:AN4"/>
    <mergeCell ref="AO3:AO4"/>
    <mergeCell ref="AP3:AP4"/>
    <mergeCell ref="AQ3:AQ4"/>
    <mergeCell ref="AX3:AY4"/>
    <mergeCell ref="AZ3:BA4"/>
    <mergeCell ref="BB3:BC4"/>
    <mergeCell ref="BD3:BE4"/>
    <mergeCell ref="BF3:BG4"/>
    <mergeCell ref="BH3:BI4"/>
    <mergeCell ref="BJ3:BK4"/>
    <mergeCell ref="BL3:BM4"/>
    <mergeCell ref="BN3:BO4"/>
    <mergeCell ref="BP3:BQ4"/>
    <mergeCell ref="BR3:BS4"/>
    <mergeCell ref="BT3:BT4"/>
    <mergeCell ref="BU3:BU4"/>
    <mergeCell ref="BV3:BV4"/>
    <mergeCell ref="BW3:CG4"/>
    <mergeCell ref="CI3:CS3"/>
    <mergeCell ref="CU3:DM3"/>
    <mergeCell ref="DO3:EG3"/>
    <mergeCell ref="EI3:FA3"/>
    <mergeCell ref="FC3:FU3"/>
    <mergeCell ref="FW3:GO3"/>
    <mergeCell ref="GQ3:HI3"/>
    <mergeCell ref="HK3:IC3"/>
    <mergeCell ref="IE3:IW3"/>
    <mergeCell ref="IY3:JQ3"/>
    <mergeCell ref="JS3:KK3"/>
    <mergeCell ref="KM3:LE3"/>
  </mergeCells>
  <headerFooter/>
</worksheet>
</file>

<file path=xl/worksheets/sheet4.xml><?xml version="1.0" encoding="utf-8"?>
<worksheet xmlns:r="http://schemas.openxmlformats.org/officeDocument/2006/relationships" xmlns="http://schemas.openxmlformats.org/spreadsheetml/2006/main">
  <dimension ref="A1:AI26"/>
  <sheetViews>
    <sheetView workbookViewId="0"/>
  </sheetViews>
  <sheetFormatPr defaultRowHeight="15"/>
  <cols>
    <col min="1" max="1" width="16.723894119262695" customWidth="1"/>
    <col min="2" max="2" width="10.714285714285714" customWidth="1"/>
    <col min="3" max="3" width="9.140625" customWidth="1"/>
    <col min="4" max="4" width="9.140625" customWidth="1"/>
    <col min="5" max="5" width="10.427948951721191" customWidth="1"/>
    <col min="6" max="6" width="9.140625" customWidth="1"/>
    <col min="7" max="7" width="27.643070220947266" customWidth="1"/>
    <col min="8" max="8" width="22.214685440063477" customWidth="1"/>
    <col min="9" max="9" width="38.814937591552734" customWidth="1"/>
    <col min="10" max="10" width="9.140625" customWidth="1"/>
    <col min="11" max="11" width="9.140625" customWidth="1"/>
    <col min="12" max="12" width="9.140625" customWidth="1"/>
    <col min="13" max="13" width="34.34312438964844" customWidth="1"/>
    <col min="14" max="14" width="15.945341110229492" customWidth="1"/>
    <col min="15" max="15" width="9.140625" customWidth="1"/>
    <col min="16" max="16" width="9.140625" customWidth="1"/>
    <col min="17" max="17" width="9.714285714285714" customWidth="1"/>
    <col min="18" max="18" width="9.140625" customWidth="1"/>
    <col min="19" max="19" width="9.140625" customWidth="1"/>
    <col min="20" max="20" width="9.140625" customWidth="1"/>
    <col min="21" max="21" width="14.468034744262695" customWidth="1"/>
    <col min="22" max="22" width="10.5803861618042" customWidth="1"/>
    <col min="23" max="23" width="30.205846786499023" customWidth="1"/>
    <col min="24" max="24" width="12.54773998260498" customWidth="1"/>
    <col min="25" max="25" width="12.54773998260498"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16384" width="0" customWidth="1"/>
  </cols>
  <sheetData>
    <row r="1" ht="15" customHeight="1">
      <c r="A1" s="58" t="s">
        <v>459</v>
      </c>
      <c r="B1" s="69" t="s">
        <v>460</v>
      </c>
      <c r="C1" s="58" t="s">
        <v>461</v>
      </c>
      <c r="D1" s="58" t="s">
        <v>462</v>
      </c>
      <c r="E1" s="58" t="s">
        <v>463</v>
      </c>
      <c r="F1" s="58" t="s">
        <v>464</v>
      </c>
      <c r="G1" s="58" t="s">
        <v>465</v>
      </c>
      <c r="H1" s="58" t="s">
        <v>466</v>
      </c>
      <c r="I1" s="58" t="s">
        <v>467</v>
      </c>
      <c r="J1" s="58" t="s">
        <v>468</v>
      </c>
      <c r="K1" s="58" t="s">
        <v>469</v>
      </c>
      <c r="L1" s="58" t="s">
        <v>470</v>
      </c>
      <c r="M1" s="58" t="s">
        <v>471</v>
      </c>
      <c r="N1" s="58" t="s">
        <v>472</v>
      </c>
      <c r="O1" s="58" t="s">
        <v>473</v>
      </c>
      <c r="P1" s="58" t="s">
        <v>12</v>
      </c>
      <c r="Q1" s="58" t="s">
        <v>283</v>
      </c>
      <c r="R1" s="58" t="s">
        <v>474</v>
      </c>
      <c r="S1" s="58" t="s">
        <v>475</v>
      </c>
      <c r="T1" s="58" t="s">
        <v>363</v>
      </c>
      <c r="U1" s="58" t="s">
        <v>332</v>
      </c>
      <c r="V1" s="58" t="s">
        <v>334</v>
      </c>
      <c r="W1" s="58" t="s">
        <v>476</v>
      </c>
      <c r="X1" s="58" t="s">
        <v>477</v>
      </c>
      <c r="Y1" s="58" t="s">
        <v>478</v>
      </c>
      <c r="Z1" s="59" t="s">
        <v>479</v>
      </c>
      <c r="AA1" s="59" t="s">
        <v>363</v>
      </c>
      <c r="AB1" s="59" t="s">
        <v>363</v>
      </c>
      <c r="AC1" s="59" t="s">
        <v>363</v>
      </c>
      <c r="AD1" s="59" t="s">
        <v>480</v>
      </c>
      <c r="AE1" s="60" t="s">
        <v>481</v>
      </c>
      <c r="AF1" s="60" t="s">
        <v>363</v>
      </c>
      <c r="AG1" s="60" t="s">
        <v>363</v>
      </c>
      <c r="AH1" s="60" t="s">
        <v>363</v>
      </c>
      <c r="AI1" s="60" t="s">
        <v>482</v>
      </c>
    </row>
    <row r="2" ht="15" customHeight="1">
      <c r="A2" s="58"/>
      <c r="B2" s="69"/>
      <c r="C2" s="58"/>
      <c r="D2" s="58"/>
      <c r="E2" s="58"/>
      <c r="F2" s="58"/>
      <c r="G2" s="58"/>
      <c r="H2" s="58"/>
      <c r="I2" s="58"/>
      <c r="J2" s="58"/>
      <c r="K2" s="58"/>
      <c r="L2" s="58"/>
      <c r="M2" s="58"/>
      <c r="N2" s="58"/>
      <c r="O2" s="58"/>
      <c r="P2" s="58"/>
      <c r="Q2" s="58"/>
      <c r="R2" s="58"/>
      <c r="S2" s="58" t="s">
        <v>483</v>
      </c>
      <c r="T2" s="58" t="s">
        <v>484</v>
      </c>
      <c r="U2" s="58"/>
      <c r="V2" s="58"/>
      <c r="W2" s="58"/>
      <c r="X2" s="58"/>
      <c r="Y2" s="58"/>
      <c r="Z2" s="59" t="s">
        <v>485</v>
      </c>
      <c r="AA2" s="59" t="s">
        <v>486</v>
      </c>
      <c r="AB2" s="59" t="s">
        <v>487</v>
      </c>
      <c r="AC2" s="59" t="s">
        <v>488</v>
      </c>
      <c r="AD2" s="59"/>
      <c r="AE2" s="60" t="s">
        <v>485</v>
      </c>
      <c r="AF2" s="60" t="s">
        <v>486</v>
      </c>
      <c r="AG2" s="60" t="s">
        <v>487</v>
      </c>
      <c r="AH2" s="60" t="s">
        <v>488</v>
      </c>
      <c r="AI2" s="60"/>
    </row>
    <row r="3">
      <c r="B3" s="70"/>
    </row>
    <row r="4">
      <c r="A4" s="61" t="s">
        <v>343</v>
      </c>
      <c r="B4" s="71" t="str">
        <f>HYPERLINK("https://www.google.com/maps/place/41°21'47""N,75°4'31.800000000046566""W/data=!3m1!1e3", "30015")</f>
        <v>30015</v>
      </c>
      <c r="C4" s="62">
        <v>4</v>
      </c>
      <c r="D4" s="61" t="s">
        <v>345</v>
      </c>
      <c r="E4" s="61" t="s">
        <v>347</v>
      </c>
      <c r="F4" s="61"/>
      <c r="G4" s="61" t="s">
        <v>348</v>
      </c>
      <c r="H4" s="61" t="s">
        <v>349</v>
      </c>
      <c r="I4" s="61" t="s">
        <v>350</v>
      </c>
      <c r="J4" s="63">
        <v>21</v>
      </c>
      <c r="K4" s="63">
        <v>342.3</v>
      </c>
      <c r="L4" s="62" t="s">
        <v>15</v>
      </c>
      <c r="M4" s="61" t="s">
        <v>353</v>
      </c>
      <c r="N4" s="61" t="s">
        <v>62</v>
      </c>
      <c r="O4" s="62" t="s">
        <v>39</v>
      </c>
      <c r="P4" s="62" t="s">
        <v>15</v>
      </c>
      <c r="Q4" s="62" t="s">
        <v>15</v>
      </c>
      <c r="R4" s="63">
        <v>117</v>
      </c>
      <c r="S4" s="61">
        <v>2026</v>
      </c>
      <c r="T4" s="61">
        <v>2026</v>
      </c>
      <c r="U4" s="61" t="s">
        <v>489</v>
      </c>
      <c r="V4" s="61" t="s">
        <v>136</v>
      </c>
      <c r="W4" s="61" t="s">
        <v>110</v>
      </c>
      <c r="X4" s="64">
        <v>900000</v>
      </c>
      <c r="Y4" s="64">
        <v>900000</v>
      </c>
      <c r="Z4" s="65">
        <v>4.723999999999999</v>
      </c>
      <c r="AA4" s="65">
        <v>5.827</v>
      </c>
      <c r="AB4" s="65">
        <v>4.4479999999999995</v>
      </c>
      <c r="AC4" s="65" t="s">
        <v>15</v>
      </c>
      <c r="AD4" s="65">
        <v>4.4479999999999995</v>
      </c>
      <c r="AE4" s="65">
        <v>9.99</v>
      </c>
      <c r="AF4" s="65">
        <v>9.99</v>
      </c>
      <c r="AG4" s="65">
        <v>9.99</v>
      </c>
      <c r="AH4" s="65" t="s">
        <v>15</v>
      </c>
      <c r="AI4" s="65">
        <v>9.99</v>
      </c>
    </row>
    <row r="5">
      <c r="A5" s="3" t="s">
        <v>364</v>
      </c>
      <c r="B5" s="71" t="str">
        <f>HYPERLINK("https://www.google.com/maps/place/41°22'23.010000000009313""N,75°9'7.4200000000419095""W/data=!3m1!1e3", "30016")</f>
        <v>30016</v>
      </c>
      <c r="C5" s="7">
        <v>4</v>
      </c>
      <c r="D5" s="3" t="s">
        <v>345</v>
      </c>
      <c r="E5" s="3" t="s">
        <v>347</v>
      </c>
      <c r="F5" s="3"/>
      <c r="G5" s="3" t="s">
        <v>365</v>
      </c>
      <c r="H5" s="3" t="s">
        <v>366</v>
      </c>
      <c r="I5" s="3" t="s">
        <v>367</v>
      </c>
      <c r="J5" s="66">
        <v>53</v>
      </c>
      <c r="K5" s="66">
        <v>1287.9</v>
      </c>
      <c r="L5" s="7" t="s">
        <v>15</v>
      </c>
      <c r="M5" s="3" t="s">
        <v>369</v>
      </c>
      <c r="N5" s="3" t="s">
        <v>62</v>
      </c>
      <c r="O5" s="7" t="s">
        <v>39</v>
      </c>
      <c r="P5" s="7" t="s">
        <v>15</v>
      </c>
      <c r="Q5" s="7" t="s">
        <v>15</v>
      </c>
      <c r="R5" s="66">
        <v>440</v>
      </c>
      <c r="S5" s="3">
        <v>2026</v>
      </c>
      <c r="T5" s="3">
        <v>2026</v>
      </c>
      <c r="U5" s="3" t="s">
        <v>489</v>
      </c>
      <c r="V5" s="3" t="s">
        <v>136</v>
      </c>
      <c r="W5" s="3" t="s">
        <v>128</v>
      </c>
      <c r="X5" s="67">
        <v>579555</v>
      </c>
      <c r="Y5" s="67">
        <v>579555</v>
      </c>
      <c r="Z5" s="68">
        <v>4.294</v>
      </c>
      <c r="AA5" s="68">
        <v>4.303</v>
      </c>
      <c r="AB5" s="68">
        <v>5.748</v>
      </c>
      <c r="AC5" s="68" t="s">
        <v>15</v>
      </c>
      <c r="AD5" s="68">
        <v>4.294</v>
      </c>
      <c r="AE5" s="68">
        <v>9.99</v>
      </c>
      <c r="AF5" s="68">
        <v>9.99</v>
      </c>
      <c r="AG5" s="68">
        <v>6.99</v>
      </c>
      <c r="AH5" s="68" t="s">
        <v>15</v>
      </c>
      <c r="AI5" s="68">
        <v>6.99</v>
      </c>
    </row>
    <row r="6">
      <c r="A6" s="61" t="s">
        <v>372</v>
      </c>
      <c r="B6" s="71" t="str">
        <f>HYPERLINK("https://www.google.com/maps/place/41°12'6.669999999983702""N,74°55'18.599999999976717""W/data=!3m1!1e3", "30018")</f>
        <v>30018</v>
      </c>
      <c r="C6" s="62">
        <v>4</v>
      </c>
      <c r="D6" s="61" t="s">
        <v>345</v>
      </c>
      <c r="E6" s="61" t="s">
        <v>347</v>
      </c>
      <c r="F6" s="61"/>
      <c r="G6" s="61" t="s">
        <v>374</v>
      </c>
      <c r="H6" s="61" t="s">
        <v>375</v>
      </c>
      <c r="I6" s="61" t="s">
        <v>376</v>
      </c>
      <c r="J6" s="63">
        <v>39</v>
      </c>
      <c r="K6" s="63">
        <v>947.7</v>
      </c>
      <c r="L6" s="62" t="s">
        <v>15</v>
      </c>
      <c r="M6" s="61" t="s">
        <v>369</v>
      </c>
      <c r="N6" s="61" t="s">
        <v>62</v>
      </c>
      <c r="O6" s="62" t="s">
        <v>39</v>
      </c>
      <c r="P6" s="62" t="s">
        <v>15</v>
      </c>
      <c r="Q6" s="62" t="s">
        <v>15</v>
      </c>
      <c r="R6" s="63">
        <v>524</v>
      </c>
      <c r="S6" s="61">
        <v>2026</v>
      </c>
      <c r="T6" s="61">
        <v>2026</v>
      </c>
      <c r="U6" s="61" t="s">
        <v>489</v>
      </c>
      <c r="V6" s="61" t="s">
        <v>136</v>
      </c>
      <c r="W6" s="61" t="s">
        <v>128</v>
      </c>
      <c r="X6" s="64">
        <v>426465</v>
      </c>
      <c r="Y6" s="64">
        <v>426465</v>
      </c>
      <c r="Z6" s="65">
        <v>4.588000000000001</v>
      </c>
      <c r="AA6" s="65">
        <v>4.584</v>
      </c>
      <c r="AB6" s="65">
        <v>5.639</v>
      </c>
      <c r="AC6" s="65" t="s">
        <v>15</v>
      </c>
      <c r="AD6" s="65">
        <v>4.584</v>
      </c>
      <c r="AE6" s="65">
        <v>9.99</v>
      </c>
      <c r="AF6" s="65">
        <v>9.99</v>
      </c>
      <c r="AG6" s="65">
        <v>6.99</v>
      </c>
      <c r="AH6" s="65" t="s">
        <v>15</v>
      </c>
      <c r="AI6" s="65">
        <v>6.99</v>
      </c>
    </row>
    <row r="7">
      <c r="A7" s="3" t="s">
        <v>378</v>
      </c>
      <c r="B7" s="71" t="str">
        <f>HYPERLINK("https://www.google.com/maps/place/41°21'49.52000000001863""N,74°57'54.27000000001863""W/data=!3m1!1e3", "30026")</f>
        <v>30026</v>
      </c>
      <c r="C7" s="7">
        <v>4</v>
      </c>
      <c r="D7" s="3" t="s">
        <v>345</v>
      </c>
      <c r="E7" s="3" t="s">
        <v>347</v>
      </c>
      <c r="F7" s="3"/>
      <c r="G7" s="3" t="s">
        <v>379</v>
      </c>
      <c r="H7" s="3" t="s">
        <v>380</v>
      </c>
      <c r="I7" s="3" t="s">
        <v>381</v>
      </c>
      <c r="J7" s="66">
        <v>33</v>
      </c>
      <c r="K7" s="66">
        <v>574.2</v>
      </c>
      <c r="L7" s="7" t="s">
        <v>15</v>
      </c>
      <c r="M7" s="3" t="s">
        <v>382</v>
      </c>
      <c r="N7" s="3" t="s">
        <v>62</v>
      </c>
      <c r="O7" s="7" t="s">
        <v>39</v>
      </c>
      <c r="P7" s="7" t="s">
        <v>15</v>
      </c>
      <c r="Q7" s="7" t="s">
        <v>15</v>
      </c>
      <c r="R7" s="66">
        <v>503</v>
      </c>
      <c r="S7" s="3">
        <v>2036</v>
      </c>
      <c r="T7" s="3">
        <v>2036</v>
      </c>
      <c r="U7" s="3" t="s">
        <v>489</v>
      </c>
      <c r="V7" s="3" t="s">
        <v>136</v>
      </c>
      <c r="W7" s="3" t="s">
        <v>108</v>
      </c>
      <c r="X7" s="67">
        <v>1209524.74140971</v>
      </c>
      <c r="Y7" s="67">
        <v>1209524.74140971</v>
      </c>
      <c r="Z7" s="68">
        <v>5.61736</v>
      </c>
      <c r="AA7" s="68">
        <v>4.890854166666665</v>
      </c>
      <c r="AB7" s="68">
        <v>4.066000000000001</v>
      </c>
      <c r="AC7" s="68" t="s">
        <v>15</v>
      </c>
      <c r="AD7" s="68">
        <v>4.066000000000001</v>
      </c>
      <c r="AE7" s="68">
        <v>9.99</v>
      </c>
      <c r="AF7" s="68">
        <v>9.99</v>
      </c>
      <c r="AG7" s="68">
        <v>9.99</v>
      </c>
      <c r="AH7" s="68" t="s">
        <v>15</v>
      </c>
      <c r="AI7" s="68">
        <v>9.99</v>
      </c>
    </row>
    <row r="8">
      <c r="A8" s="61" t="s">
        <v>384</v>
      </c>
      <c r="B8" s="71" t="str">
        <f>HYPERLINK("https://www.google.com/maps/place/41°17'14.309999999997672""N,75°19'24.319999999948777""W/data=!3m1!1e3", "30029")</f>
        <v>30029</v>
      </c>
      <c r="C8" s="62">
        <v>4</v>
      </c>
      <c r="D8" s="61" t="s">
        <v>345</v>
      </c>
      <c r="E8" s="61" t="s">
        <v>347</v>
      </c>
      <c r="F8" s="61"/>
      <c r="G8" s="61" t="s">
        <v>386</v>
      </c>
      <c r="H8" s="61" t="s">
        <v>387</v>
      </c>
      <c r="I8" s="61" t="s">
        <v>388</v>
      </c>
      <c r="J8" s="63">
        <v>37</v>
      </c>
      <c r="K8" s="63">
        <v>899.1</v>
      </c>
      <c r="L8" s="62" t="s">
        <v>15</v>
      </c>
      <c r="M8" s="61" t="s">
        <v>369</v>
      </c>
      <c r="N8" s="61" t="s">
        <v>62</v>
      </c>
      <c r="O8" s="62" t="s">
        <v>39</v>
      </c>
      <c r="P8" s="62" t="s">
        <v>15</v>
      </c>
      <c r="Q8" s="62" t="s">
        <v>15</v>
      </c>
      <c r="R8" s="63">
        <v>212</v>
      </c>
      <c r="S8" s="61">
        <v>2026</v>
      </c>
      <c r="T8" s="61">
        <v>2026</v>
      </c>
      <c r="U8" s="61" t="s">
        <v>489</v>
      </c>
      <c r="V8" s="61" t="s">
        <v>136</v>
      </c>
      <c r="W8" s="61" t="s">
        <v>128</v>
      </c>
      <c r="X8" s="64">
        <v>404595</v>
      </c>
      <c r="Y8" s="64">
        <v>404595</v>
      </c>
      <c r="Z8" s="65">
        <v>4.294</v>
      </c>
      <c r="AA8" s="65">
        <v>4.3020000000000005</v>
      </c>
      <c r="AB8" s="65">
        <v>5.512000000000001</v>
      </c>
      <c r="AC8" s="65" t="s">
        <v>15</v>
      </c>
      <c r="AD8" s="65">
        <v>4.294</v>
      </c>
      <c r="AE8" s="65">
        <v>9.99</v>
      </c>
      <c r="AF8" s="65">
        <v>9.99</v>
      </c>
      <c r="AG8" s="65">
        <v>6.99</v>
      </c>
      <c r="AH8" s="65" t="s">
        <v>15</v>
      </c>
      <c r="AI8" s="65">
        <v>6.99</v>
      </c>
    </row>
    <row r="9">
      <c r="A9" s="3" t="s">
        <v>389</v>
      </c>
      <c r="B9" s="71" t="str">
        <f>HYPERLINK("https://www.google.com/maps/place/41°14'52.61999999999534""N,75°19'58.02000000001863""W/data=!3m1!1e3", "30030")</f>
        <v>30030</v>
      </c>
      <c r="C9" s="7">
        <v>4</v>
      </c>
      <c r="D9" s="3" t="s">
        <v>345</v>
      </c>
      <c r="E9" s="3" t="s">
        <v>347</v>
      </c>
      <c r="F9" s="3"/>
      <c r="G9" s="3" t="s">
        <v>390</v>
      </c>
      <c r="H9" s="3" t="s">
        <v>391</v>
      </c>
      <c r="I9" s="3" t="s">
        <v>392</v>
      </c>
      <c r="J9" s="66">
        <v>43</v>
      </c>
      <c r="K9" s="66">
        <v>1040.6</v>
      </c>
      <c r="L9" s="7" t="s">
        <v>15</v>
      </c>
      <c r="M9" s="3" t="s">
        <v>369</v>
      </c>
      <c r="N9" s="3" t="s">
        <v>62</v>
      </c>
      <c r="O9" s="7" t="s">
        <v>39</v>
      </c>
      <c r="P9" s="7" t="s">
        <v>15</v>
      </c>
      <c r="Q9" s="7" t="s">
        <v>15</v>
      </c>
      <c r="R9" s="66">
        <v>228</v>
      </c>
      <c r="S9" s="3">
        <v>2026</v>
      </c>
      <c r="T9" s="3">
        <v>2026</v>
      </c>
      <c r="U9" s="3" t="s">
        <v>489</v>
      </c>
      <c r="V9" s="3" t="s">
        <v>136</v>
      </c>
      <c r="W9" s="3" t="s">
        <v>128</v>
      </c>
      <c r="X9" s="67">
        <v>468269.99999999994</v>
      </c>
      <c r="Y9" s="67">
        <v>468269.99999999994</v>
      </c>
      <c r="Z9" s="68">
        <v>2.9560000000000004</v>
      </c>
      <c r="AA9" s="68">
        <v>2.9210000000000016</v>
      </c>
      <c r="AB9" s="68">
        <v>6.519</v>
      </c>
      <c r="AC9" s="68" t="s">
        <v>15</v>
      </c>
      <c r="AD9" s="68">
        <v>2.9210000000000016</v>
      </c>
      <c r="AE9" s="68">
        <v>9.99</v>
      </c>
      <c r="AF9" s="68">
        <v>9.99</v>
      </c>
      <c r="AG9" s="68">
        <v>7.519</v>
      </c>
      <c r="AH9" s="68" t="s">
        <v>15</v>
      </c>
      <c r="AI9" s="68">
        <v>7.519</v>
      </c>
    </row>
    <row r="10">
      <c r="A10" s="61" t="s">
        <v>389</v>
      </c>
      <c r="B10" s="71" t="str">
        <f>HYPERLINK("https://www.google.com/maps/place/41°14'52.61999999999534""N,75°19'58.02000000001863""W/data=!3m1!1e3", "30030")</f>
        <v>30030</v>
      </c>
      <c r="C10" s="62">
        <v>4</v>
      </c>
      <c r="D10" s="61" t="s">
        <v>345</v>
      </c>
      <c r="E10" s="61" t="s">
        <v>347</v>
      </c>
      <c r="F10" s="61"/>
      <c r="G10" s="61" t="s">
        <v>390</v>
      </c>
      <c r="H10" s="61" t="s">
        <v>391</v>
      </c>
      <c r="I10" s="61" t="s">
        <v>392</v>
      </c>
      <c r="J10" s="63">
        <v>43</v>
      </c>
      <c r="K10" s="63">
        <v>1040.6</v>
      </c>
      <c r="L10" s="62" t="s">
        <v>15</v>
      </c>
      <c r="M10" s="61" t="s">
        <v>369</v>
      </c>
      <c r="N10" s="61" t="s">
        <v>62</v>
      </c>
      <c r="O10" s="62" t="s">
        <v>39</v>
      </c>
      <c r="P10" s="62" t="s">
        <v>15</v>
      </c>
      <c r="Q10" s="62" t="s">
        <v>15</v>
      </c>
      <c r="R10" s="63">
        <v>228</v>
      </c>
      <c r="S10" s="61">
        <v>2036</v>
      </c>
      <c r="T10" s="61">
        <v>2036</v>
      </c>
      <c r="U10" s="61" t="s">
        <v>489</v>
      </c>
      <c r="V10" s="61" t="s">
        <v>136</v>
      </c>
      <c r="W10" s="61" t="s">
        <v>115</v>
      </c>
      <c r="X10" s="64">
        <v>27969.587686909872</v>
      </c>
      <c r="Y10" s="64">
        <v>27969.587686909872</v>
      </c>
      <c r="Z10" s="65">
        <v>8.49375</v>
      </c>
      <c r="AA10" s="65">
        <v>8.74485</v>
      </c>
      <c r="AB10" s="65">
        <v>7.114</v>
      </c>
      <c r="AC10" s="65" t="s">
        <v>15</v>
      </c>
      <c r="AD10" s="65">
        <v>7.114</v>
      </c>
      <c r="AE10" s="65">
        <v>8.36875</v>
      </c>
      <c r="AF10" s="65">
        <v>8.68185</v>
      </c>
      <c r="AG10" s="65">
        <v>7.569</v>
      </c>
      <c r="AH10" s="65" t="s">
        <v>15</v>
      </c>
      <c r="AI10" s="65">
        <v>7.569</v>
      </c>
    </row>
    <row r="11">
      <c r="A11" s="3" t="s">
        <v>394</v>
      </c>
      <c r="B11" s="71" t="str">
        <f>HYPERLINK("https://www.google.com/maps/place/41°18'17.40999999997439""N,75°17'1.040000000037253""W/data=!3m1!1e3", "30031")</f>
        <v>30031</v>
      </c>
      <c r="C11" s="7">
        <v>4</v>
      </c>
      <c r="D11" s="3" t="s">
        <v>345</v>
      </c>
      <c r="E11" s="3" t="s">
        <v>347</v>
      </c>
      <c r="F11" s="3"/>
      <c r="G11" s="3" t="s">
        <v>395</v>
      </c>
      <c r="H11" s="3" t="s">
        <v>396</v>
      </c>
      <c r="I11" s="3" t="s">
        <v>397</v>
      </c>
      <c r="J11" s="66">
        <v>71</v>
      </c>
      <c r="K11" s="66">
        <v>1725.3</v>
      </c>
      <c r="L11" s="7" t="s">
        <v>15</v>
      </c>
      <c r="M11" s="3" t="s">
        <v>369</v>
      </c>
      <c r="N11" s="3" t="s">
        <v>62</v>
      </c>
      <c r="O11" s="7" t="s">
        <v>39</v>
      </c>
      <c r="P11" s="7" t="s">
        <v>15</v>
      </c>
      <c r="Q11" s="7" t="s">
        <v>15</v>
      </c>
      <c r="R11" s="66">
        <v>294</v>
      </c>
      <c r="S11" s="3">
        <v>2026</v>
      </c>
      <c r="T11" s="3">
        <v>2026</v>
      </c>
      <c r="U11" s="3" t="s">
        <v>489</v>
      </c>
      <c r="V11" s="3" t="s">
        <v>136</v>
      </c>
      <c r="W11" s="3" t="s">
        <v>128</v>
      </c>
      <c r="X11" s="67">
        <v>776385</v>
      </c>
      <c r="Y11" s="67">
        <v>776385</v>
      </c>
      <c r="Z11" s="68">
        <v>4.292</v>
      </c>
      <c r="AA11" s="68">
        <v>4.295999999999999</v>
      </c>
      <c r="AB11" s="68">
        <v>5.508</v>
      </c>
      <c r="AC11" s="68" t="s">
        <v>15</v>
      </c>
      <c r="AD11" s="68">
        <v>4.292</v>
      </c>
      <c r="AE11" s="68">
        <v>9.99</v>
      </c>
      <c r="AF11" s="68">
        <v>9.99</v>
      </c>
      <c r="AG11" s="68">
        <v>6.99</v>
      </c>
      <c r="AH11" s="68" t="s">
        <v>15</v>
      </c>
      <c r="AI11" s="68">
        <v>6.99</v>
      </c>
    </row>
    <row r="12">
      <c r="A12" s="61" t="s">
        <v>398</v>
      </c>
      <c r="B12" s="71" t="str">
        <f>HYPERLINK("https://www.google.com/maps/place/41°17'18.95000000001164""N,75°15'19.300000000046566""W/data=!3m1!1e3", "30032")</f>
        <v>30032</v>
      </c>
      <c r="C12" s="62">
        <v>4</v>
      </c>
      <c r="D12" s="61" t="s">
        <v>345</v>
      </c>
      <c r="E12" s="61" t="s">
        <v>347</v>
      </c>
      <c r="F12" s="61"/>
      <c r="G12" s="61" t="s">
        <v>395</v>
      </c>
      <c r="H12" s="61" t="s">
        <v>396</v>
      </c>
      <c r="I12" s="61" t="s">
        <v>399</v>
      </c>
      <c r="J12" s="63">
        <v>63</v>
      </c>
      <c r="K12" s="63">
        <v>1549.8</v>
      </c>
      <c r="L12" s="62" t="s">
        <v>15</v>
      </c>
      <c r="M12" s="61" t="s">
        <v>369</v>
      </c>
      <c r="N12" s="61" t="s">
        <v>62</v>
      </c>
      <c r="O12" s="62" t="s">
        <v>39</v>
      </c>
      <c r="P12" s="62" t="s">
        <v>15</v>
      </c>
      <c r="Q12" s="62" t="s">
        <v>15</v>
      </c>
      <c r="R12" s="63">
        <v>278</v>
      </c>
      <c r="S12" s="61">
        <v>2026</v>
      </c>
      <c r="T12" s="61">
        <v>2026</v>
      </c>
      <c r="U12" s="61" t="s">
        <v>489</v>
      </c>
      <c r="V12" s="61" t="s">
        <v>136</v>
      </c>
      <c r="W12" s="61" t="s">
        <v>128</v>
      </c>
      <c r="X12" s="64">
        <v>697410</v>
      </c>
      <c r="Y12" s="64">
        <v>697410</v>
      </c>
      <c r="Z12" s="65">
        <v>2.941</v>
      </c>
      <c r="AA12" s="65">
        <v>2.926999999999999</v>
      </c>
      <c r="AB12" s="65">
        <v>5.8180000000000005</v>
      </c>
      <c r="AC12" s="65" t="s">
        <v>15</v>
      </c>
      <c r="AD12" s="65">
        <v>2.926999999999999</v>
      </c>
      <c r="AE12" s="65">
        <v>9.99</v>
      </c>
      <c r="AF12" s="65">
        <v>9.99</v>
      </c>
      <c r="AG12" s="65">
        <v>6.99</v>
      </c>
      <c r="AH12" s="65" t="s">
        <v>15</v>
      </c>
      <c r="AI12" s="65">
        <v>6.99</v>
      </c>
    </row>
    <row r="13">
      <c r="A13" s="3" t="s">
        <v>400</v>
      </c>
      <c r="B13" s="71" t="str">
        <f>HYPERLINK("https://www.google.com/maps/place/41°18'54.53000000002794""N,75°17'8.619999999995343""W/data=!3m1!1e3", "30033")</f>
        <v>30033</v>
      </c>
      <c r="C13" s="7">
        <v>4</v>
      </c>
      <c r="D13" s="3" t="s">
        <v>345</v>
      </c>
      <c r="E13" s="3" t="s">
        <v>347</v>
      </c>
      <c r="F13" s="3"/>
      <c r="G13" s="3" t="s">
        <v>401</v>
      </c>
      <c r="H13" s="3" t="s">
        <v>402</v>
      </c>
      <c r="I13" s="3" t="s">
        <v>403</v>
      </c>
      <c r="J13" s="66">
        <v>63</v>
      </c>
      <c r="K13" s="66">
        <v>1549.8</v>
      </c>
      <c r="L13" s="7" t="s">
        <v>15</v>
      </c>
      <c r="M13" s="3" t="s">
        <v>369</v>
      </c>
      <c r="N13" s="3" t="s">
        <v>62</v>
      </c>
      <c r="O13" s="7" t="s">
        <v>39</v>
      </c>
      <c r="P13" s="7" t="s">
        <v>15</v>
      </c>
      <c r="Q13" s="7" t="s">
        <v>15</v>
      </c>
      <c r="R13" s="66">
        <v>278</v>
      </c>
      <c r="S13" s="3">
        <v>2026</v>
      </c>
      <c r="T13" s="3">
        <v>2026</v>
      </c>
      <c r="U13" s="3" t="s">
        <v>489</v>
      </c>
      <c r="V13" s="3" t="s">
        <v>136</v>
      </c>
      <c r="W13" s="3" t="s">
        <v>128</v>
      </c>
      <c r="X13" s="67">
        <v>697410</v>
      </c>
      <c r="Y13" s="67">
        <v>697410</v>
      </c>
      <c r="Z13" s="68">
        <v>4.29</v>
      </c>
      <c r="AA13" s="68">
        <v>4.300000000000001</v>
      </c>
      <c r="AB13" s="68">
        <v>5.509</v>
      </c>
      <c r="AC13" s="68" t="s">
        <v>15</v>
      </c>
      <c r="AD13" s="68">
        <v>4.29</v>
      </c>
      <c r="AE13" s="68">
        <v>9.99</v>
      </c>
      <c r="AF13" s="68">
        <v>9.99</v>
      </c>
      <c r="AG13" s="68">
        <v>6.99</v>
      </c>
      <c r="AH13" s="68" t="s">
        <v>15</v>
      </c>
      <c r="AI13" s="68">
        <v>6.99</v>
      </c>
    </row>
    <row r="14">
      <c r="A14" s="61" t="s">
        <v>404</v>
      </c>
      <c r="B14" s="71" t="str">
        <f>HYPERLINK("https://www.google.com/maps/place/41°16'23.880000000004657""N,75°15'10.339999999967404""W/data=!3m1!1e3", "30035")</f>
        <v>30035</v>
      </c>
      <c r="C14" s="62">
        <v>4</v>
      </c>
      <c r="D14" s="61" t="s">
        <v>345</v>
      </c>
      <c r="E14" s="61" t="s">
        <v>347</v>
      </c>
      <c r="F14" s="61"/>
      <c r="G14" s="61" t="s">
        <v>405</v>
      </c>
      <c r="H14" s="61" t="s">
        <v>406</v>
      </c>
      <c r="I14" s="61" t="s">
        <v>407</v>
      </c>
      <c r="J14" s="63">
        <v>33</v>
      </c>
      <c r="K14" s="63">
        <v>801.9</v>
      </c>
      <c r="L14" s="62" t="s">
        <v>15</v>
      </c>
      <c r="M14" s="61" t="s">
        <v>369</v>
      </c>
      <c r="N14" s="61" t="s">
        <v>62</v>
      </c>
      <c r="O14" s="62" t="s">
        <v>39</v>
      </c>
      <c r="P14" s="62" t="s">
        <v>15</v>
      </c>
      <c r="Q14" s="62" t="s">
        <v>15</v>
      </c>
      <c r="R14" s="63">
        <v>200</v>
      </c>
      <c r="S14" s="61">
        <v>2026</v>
      </c>
      <c r="T14" s="61">
        <v>2026</v>
      </c>
      <c r="U14" s="61" t="s">
        <v>489</v>
      </c>
      <c r="V14" s="61" t="s">
        <v>136</v>
      </c>
      <c r="W14" s="61" t="s">
        <v>128</v>
      </c>
      <c r="X14" s="64">
        <v>360855</v>
      </c>
      <c r="Y14" s="64">
        <v>360855</v>
      </c>
      <c r="Z14" s="65">
        <v>3.228</v>
      </c>
      <c r="AA14" s="65">
        <v>3.0180000000000016</v>
      </c>
      <c r="AB14" s="65">
        <v>5.683</v>
      </c>
      <c r="AC14" s="65" t="s">
        <v>15</v>
      </c>
      <c r="AD14" s="65">
        <v>3.0180000000000016</v>
      </c>
      <c r="AE14" s="65">
        <v>9.99</v>
      </c>
      <c r="AF14" s="65">
        <v>9.99</v>
      </c>
      <c r="AG14" s="65">
        <v>6.99</v>
      </c>
      <c r="AH14" s="65" t="s">
        <v>15</v>
      </c>
      <c r="AI14" s="65">
        <v>6.99</v>
      </c>
    </row>
    <row r="15">
      <c r="A15" s="3" t="s">
        <v>408</v>
      </c>
      <c r="B15" s="71" t="str">
        <f>HYPERLINK("https://www.google.com/maps/place/41°25'11.60999999998603""N,74°59'26.60999999998603""W/data=!3m1!1e3", "30038")</f>
        <v>30038</v>
      </c>
      <c r="C15" s="7">
        <v>4</v>
      </c>
      <c r="D15" s="3" t="s">
        <v>345</v>
      </c>
      <c r="E15" s="3" t="s">
        <v>347</v>
      </c>
      <c r="F15" s="3"/>
      <c r="G15" s="3" t="s">
        <v>410</v>
      </c>
      <c r="H15" s="3" t="s">
        <v>411</v>
      </c>
      <c r="I15" s="3" t="s">
        <v>412</v>
      </c>
      <c r="J15" s="66">
        <v>58</v>
      </c>
      <c r="K15" s="66">
        <v>1426.8</v>
      </c>
      <c r="L15" s="7" t="s">
        <v>15</v>
      </c>
      <c r="M15" s="3" t="s">
        <v>369</v>
      </c>
      <c r="N15" s="3" t="s">
        <v>62</v>
      </c>
      <c r="O15" s="7" t="s">
        <v>39</v>
      </c>
      <c r="P15" s="7" t="s">
        <v>15</v>
      </c>
      <c r="Q15" s="7" t="s">
        <v>15</v>
      </c>
      <c r="R15" s="66">
        <v>534</v>
      </c>
      <c r="S15" s="3">
        <v>2026</v>
      </c>
      <c r="T15" s="3">
        <v>2026</v>
      </c>
      <c r="U15" s="3" t="s">
        <v>489</v>
      </c>
      <c r="V15" s="3" t="s">
        <v>136</v>
      </c>
      <c r="W15" s="3" t="s">
        <v>108</v>
      </c>
      <c r="X15" s="67">
        <v>1569480</v>
      </c>
      <c r="Y15" s="67">
        <v>1569480</v>
      </c>
      <c r="Z15" s="68">
        <v>4.242999999999999</v>
      </c>
      <c r="AA15" s="68">
        <v>4.295999999999999</v>
      </c>
      <c r="AB15" s="68">
        <v>2.8619999999999988</v>
      </c>
      <c r="AC15" s="68" t="s">
        <v>15</v>
      </c>
      <c r="AD15" s="68">
        <v>2.8619999999999988</v>
      </c>
      <c r="AE15" s="68">
        <v>9.99</v>
      </c>
      <c r="AF15" s="68">
        <v>9.99</v>
      </c>
      <c r="AG15" s="68">
        <v>9.99</v>
      </c>
      <c r="AH15" s="68" t="s">
        <v>15</v>
      </c>
      <c r="AI15" s="68">
        <v>9.99</v>
      </c>
    </row>
    <row r="16">
      <c r="A16" s="61" t="s">
        <v>413</v>
      </c>
      <c r="B16" s="71" t="str">
        <f>HYPERLINK("https://www.google.com/maps/place/41°27'48.15000000002328""N,75°3'0.8100000000558794""W/data=!3m1!1e3", "30040")</f>
        <v>30040</v>
      </c>
      <c r="C16" s="62">
        <v>4</v>
      </c>
      <c r="D16" s="61" t="s">
        <v>345</v>
      </c>
      <c r="E16" s="61" t="s">
        <v>347</v>
      </c>
      <c r="F16" s="61"/>
      <c r="G16" s="61" t="s">
        <v>414</v>
      </c>
      <c r="H16" s="61" t="s">
        <v>415</v>
      </c>
      <c r="I16" s="61" t="s">
        <v>416</v>
      </c>
      <c r="J16" s="63">
        <v>27</v>
      </c>
      <c r="K16" s="63">
        <v>656.1</v>
      </c>
      <c r="L16" s="62" t="s">
        <v>15</v>
      </c>
      <c r="M16" s="61" t="s">
        <v>369</v>
      </c>
      <c r="N16" s="61" t="s">
        <v>62</v>
      </c>
      <c r="O16" s="62" t="s">
        <v>39</v>
      </c>
      <c r="P16" s="62" t="s">
        <v>15</v>
      </c>
      <c r="Q16" s="62" t="s">
        <v>15</v>
      </c>
      <c r="R16" s="63">
        <v>362</v>
      </c>
      <c r="S16" s="61">
        <v>2026</v>
      </c>
      <c r="T16" s="61">
        <v>2026</v>
      </c>
      <c r="U16" s="61" t="s">
        <v>489</v>
      </c>
      <c r="V16" s="61" t="s">
        <v>136</v>
      </c>
      <c r="W16" s="61" t="s">
        <v>110</v>
      </c>
      <c r="X16" s="64">
        <v>1115370</v>
      </c>
      <c r="Y16" s="64">
        <v>1115370</v>
      </c>
      <c r="Z16" s="65">
        <v>4.31</v>
      </c>
      <c r="AA16" s="65">
        <v>4.303999999999999</v>
      </c>
      <c r="AB16" s="65">
        <v>3.301999999999999</v>
      </c>
      <c r="AC16" s="65" t="s">
        <v>15</v>
      </c>
      <c r="AD16" s="65">
        <v>3.301999999999999</v>
      </c>
      <c r="AE16" s="65">
        <v>9.99</v>
      </c>
      <c r="AF16" s="65">
        <v>9.99</v>
      </c>
      <c r="AG16" s="65">
        <v>9.99</v>
      </c>
      <c r="AH16" s="65" t="s">
        <v>15</v>
      </c>
      <c r="AI16" s="65">
        <v>9.99</v>
      </c>
    </row>
    <row r="17">
      <c r="A17" s="3" t="s">
        <v>417</v>
      </c>
      <c r="B17" s="71" t="str">
        <f>HYPERLINK("https://www.google.com/maps/place/41°27'52.25""N,75°7'36.36999999999534""W/data=!3m1!1e3", "30041")</f>
        <v>30041</v>
      </c>
      <c r="C17" s="7">
        <v>4</v>
      </c>
      <c r="D17" s="3" t="s">
        <v>345</v>
      </c>
      <c r="E17" s="3" t="s">
        <v>347</v>
      </c>
      <c r="F17" s="3"/>
      <c r="G17" s="3" t="s">
        <v>418</v>
      </c>
      <c r="H17" s="3" t="s">
        <v>419</v>
      </c>
      <c r="I17" s="3" t="s">
        <v>420</v>
      </c>
      <c r="J17" s="66">
        <v>33</v>
      </c>
      <c r="K17" s="66">
        <v>801.9</v>
      </c>
      <c r="L17" s="7" t="s">
        <v>15</v>
      </c>
      <c r="M17" s="3" t="s">
        <v>369</v>
      </c>
      <c r="N17" s="3" t="s">
        <v>62</v>
      </c>
      <c r="O17" s="7" t="s">
        <v>39</v>
      </c>
      <c r="P17" s="7" t="s">
        <v>15</v>
      </c>
      <c r="Q17" s="7" t="s">
        <v>15</v>
      </c>
      <c r="R17" s="66">
        <v>400</v>
      </c>
      <c r="S17" s="3">
        <v>2026</v>
      </c>
      <c r="T17" s="3">
        <v>2026</v>
      </c>
      <c r="U17" s="3" t="s">
        <v>489</v>
      </c>
      <c r="V17" s="3" t="s">
        <v>136</v>
      </c>
      <c r="W17" s="3" t="s">
        <v>108</v>
      </c>
      <c r="X17" s="67">
        <v>900000</v>
      </c>
      <c r="Y17" s="67">
        <v>900000</v>
      </c>
      <c r="Z17" s="68">
        <v>3.55</v>
      </c>
      <c r="AA17" s="68">
        <v>3.56</v>
      </c>
      <c r="AB17" s="68">
        <v>3.57</v>
      </c>
      <c r="AC17" s="68" t="s">
        <v>15</v>
      </c>
      <c r="AD17" s="68">
        <v>3.55</v>
      </c>
      <c r="AE17" s="68">
        <v>9.99</v>
      </c>
      <c r="AF17" s="68">
        <v>9.99</v>
      </c>
      <c r="AG17" s="68">
        <v>9.99</v>
      </c>
      <c r="AH17" s="68" t="s">
        <v>15</v>
      </c>
      <c r="AI17" s="68">
        <v>9.99</v>
      </c>
    </row>
    <row r="18">
      <c r="A18" s="61" t="s">
        <v>421</v>
      </c>
      <c r="B18" s="71" t="str">
        <f>HYPERLINK("https://www.google.com/maps/place/41°5'29.64000000001397""N,75°0'14.25""W/data=!3m1!1e3", "30048")</f>
        <v>30048</v>
      </c>
      <c r="C18" s="62">
        <v>4</v>
      </c>
      <c r="D18" s="61" t="s">
        <v>345</v>
      </c>
      <c r="E18" s="61" t="s">
        <v>347</v>
      </c>
      <c r="F18" s="61"/>
      <c r="G18" s="61" t="s">
        <v>422</v>
      </c>
      <c r="H18" s="61" t="s">
        <v>423</v>
      </c>
      <c r="I18" s="61" t="s">
        <v>424</v>
      </c>
      <c r="J18" s="63">
        <v>47</v>
      </c>
      <c r="K18" s="63">
        <v>1212.6</v>
      </c>
      <c r="L18" s="62" t="s">
        <v>15</v>
      </c>
      <c r="M18" s="61" t="s">
        <v>382</v>
      </c>
      <c r="N18" s="61" t="s">
        <v>62</v>
      </c>
      <c r="O18" s="62" t="s">
        <v>39</v>
      </c>
      <c r="P18" s="62" t="s">
        <v>15</v>
      </c>
      <c r="Q18" s="62" t="s">
        <v>15</v>
      </c>
      <c r="R18" s="63">
        <v>603</v>
      </c>
      <c r="S18" s="61">
        <v>2026</v>
      </c>
      <c r="T18" s="61">
        <v>2026</v>
      </c>
      <c r="U18" s="61" t="s">
        <v>489</v>
      </c>
      <c r="V18" s="61" t="s">
        <v>136</v>
      </c>
      <c r="W18" s="61" t="s">
        <v>108</v>
      </c>
      <c r="X18" s="64">
        <v>1333860</v>
      </c>
      <c r="Y18" s="64">
        <v>1333860</v>
      </c>
      <c r="Z18" s="65">
        <v>5.117</v>
      </c>
      <c r="AA18" s="65">
        <v>4.11</v>
      </c>
      <c r="AB18" s="65">
        <v>4.415</v>
      </c>
      <c r="AC18" s="65" t="s">
        <v>15</v>
      </c>
      <c r="AD18" s="65">
        <v>4.11</v>
      </c>
      <c r="AE18" s="65">
        <v>9.99</v>
      </c>
      <c r="AF18" s="65">
        <v>9.99</v>
      </c>
      <c r="AG18" s="65">
        <v>9.99</v>
      </c>
      <c r="AH18" s="65" t="s">
        <v>15</v>
      </c>
      <c r="AI18" s="65">
        <v>9.99</v>
      </c>
    </row>
    <row r="19">
      <c r="A19" s="3" t="s">
        <v>426</v>
      </c>
      <c r="B19" s="71" t="str">
        <f>HYPERLINK("https://www.google.com/maps/place/41°5'18.510000000009313""N,75°2'16.650000000023283""W/data=!3m1!1e3", "30049")</f>
        <v>30049</v>
      </c>
      <c r="C19" s="7">
        <v>4</v>
      </c>
      <c r="D19" s="3" t="s">
        <v>345</v>
      </c>
      <c r="E19" s="3" t="s">
        <v>347</v>
      </c>
      <c r="F19" s="3"/>
      <c r="G19" s="3" t="s">
        <v>427</v>
      </c>
      <c r="H19" s="3" t="s">
        <v>428</v>
      </c>
      <c r="I19" s="3" t="s">
        <v>429</v>
      </c>
      <c r="J19" s="66">
        <v>122</v>
      </c>
      <c r="K19" s="66">
        <v>3403.8</v>
      </c>
      <c r="L19" s="7" t="s">
        <v>15</v>
      </c>
      <c r="M19" s="3" t="s">
        <v>369</v>
      </c>
      <c r="N19" s="3" t="s">
        <v>62</v>
      </c>
      <c r="O19" s="7" t="s">
        <v>39</v>
      </c>
      <c r="P19" s="7" t="s">
        <v>15</v>
      </c>
      <c r="Q19" s="7" t="s">
        <v>15</v>
      </c>
      <c r="R19" s="66">
        <v>2183</v>
      </c>
      <c r="S19" s="3">
        <v>2026</v>
      </c>
      <c r="T19" s="3">
        <v>2026</v>
      </c>
      <c r="U19" s="3" t="s">
        <v>489</v>
      </c>
      <c r="V19" s="3" t="s">
        <v>136</v>
      </c>
      <c r="W19" s="3" t="s">
        <v>116</v>
      </c>
      <c r="X19" s="67">
        <v>17019</v>
      </c>
      <c r="Y19" s="67">
        <v>17019</v>
      </c>
      <c r="Z19" s="68">
        <v>4.288</v>
      </c>
      <c r="AA19" s="68">
        <v>4.287</v>
      </c>
      <c r="AB19" s="68">
        <v>6.435</v>
      </c>
      <c r="AC19" s="68" t="s">
        <v>15</v>
      </c>
      <c r="AD19" s="68">
        <v>4.287</v>
      </c>
      <c r="AE19" s="68">
        <v>4.288</v>
      </c>
      <c r="AF19" s="68">
        <v>4.787</v>
      </c>
      <c r="AG19" s="68">
        <v>6.685</v>
      </c>
      <c r="AH19" s="68" t="s">
        <v>15</v>
      </c>
      <c r="AI19" s="68">
        <v>4.288</v>
      </c>
    </row>
    <row r="20">
      <c r="A20" s="61" t="s">
        <v>426</v>
      </c>
      <c r="B20" s="71" t="str">
        <f>HYPERLINK("https://www.google.com/maps/place/41°5'18.510000000009313""N,75°2'16.650000000023283""W/data=!3m1!1e3", "30049")</f>
        <v>30049</v>
      </c>
      <c r="C20" s="62">
        <v>4</v>
      </c>
      <c r="D20" s="61" t="s">
        <v>345</v>
      </c>
      <c r="E20" s="61" t="s">
        <v>347</v>
      </c>
      <c r="F20" s="61"/>
      <c r="G20" s="61" t="s">
        <v>427</v>
      </c>
      <c r="H20" s="61" t="s">
        <v>428</v>
      </c>
      <c r="I20" s="61" t="s">
        <v>429</v>
      </c>
      <c r="J20" s="63">
        <v>122</v>
      </c>
      <c r="K20" s="63">
        <v>3403.8</v>
      </c>
      <c r="L20" s="62" t="s">
        <v>15</v>
      </c>
      <c r="M20" s="61" t="s">
        <v>369</v>
      </c>
      <c r="N20" s="61" t="s">
        <v>62</v>
      </c>
      <c r="O20" s="62" t="s">
        <v>39</v>
      </c>
      <c r="P20" s="62" t="s">
        <v>15</v>
      </c>
      <c r="Q20" s="62" t="s">
        <v>15</v>
      </c>
      <c r="R20" s="63">
        <v>2183</v>
      </c>
      <c r="S20" s="61">
        <v>2027</v>
      </c>
      <c r="T20" s="61">
        <v>2027</v>
      </c>
      <c r="U20" s="61" t="s">
        <v>489</v>
      </c>
      <c r="V20" s="61" t="s">
        <v>136</v>
      </c>
      <c r="W20" s="61" t="s">
        <v>128</v>
      </c>
      <c r="X20" s="64">
        <v>1577661.3</v>
      </c>
      <c r="Y20" s="64">
        <v>1577661.3</v>
      </c>
      <c r="Z20" s="65">
        <v>4.288</v>
      </c>
      <c r="AA20" s="65">
        <v>4.787</v>
      </c>
      <c r="AB20" s="65">
        <v>6.685</v>
      </c>
      <c r="AC20" s="65" t="s">
        <v>15</v>
      </c>
      <c r="AD20" s="65">
        <v>4.288</v>
      </c>
      <c r="AE20" s="65">
        <v>9.99</v>
      </c>
      <c r="AF20" s="65">
        <v>9.99</v>
      </c>
      <c r="AG20" s="65">
        <v>7.584999999999999</v>
      </c>
      <c r="AH20" s="65" t="s">
        <v>15</v>
      </c>
      <c r="AI20" s="65">
        <v>7.584999999999999</v>
      </c>
    </row>
    <row r="21">
      <c r="A21" s="3" t="s">
        <v>432</v>
      </c>
      <c r="B21" s="71" t="str">
        <f>HYPERLINK("https://www.google.com/maps/place/41°5'51.90999999997439""N,75°0'13.849999999976717""W/data=!3m1!1e3", "30050")</f>
        <v>30050</v>
      </c>
      <c r="C21" s="7">
        <v>4</v>
      </c>
      <c r="D21" s="3" t="s">
        <v>345</v>
      </c>
      <c r="E21" s="3" t="s">
        <v>347</v>
      </c>
      <c r="F21" s="3"/>
      <c r="G21" s="3" t="s">
        <v>422</v>
      </c>
      <c r="H21" s="3" t="s">
        <v>433</v>
      </c>
      <c r="I21" s="3" t="s">
        <v>434</v>
      </c>
      <c r="J21" s="66">
        <v>75</v>
      </c>
      <c r="K21" s="66">
        <v>1822.5</v>
      </c>
      <c r="L21" s="7" t="s">
        <v>15</v>
      </c>
      <c r="M21" s="3" t="s">
        <v>369</v>
      </c>
      <c r="N21" s="3" t="s">
        <v>62</v>
      </c>
      <c r="O21" s="7" t="s">
        <v>39</v>
      </c>
      <c r="P21" s="7" t="s">
        <v>15</v>
      </c>
      <c r="Q21" s="7" t="s">
        <v>15</v>
      </c>
      <c r="R21" s="66">
        <v>739</v>
      </c>
      <c r="S21" s="3">
        <v>2027</v>
      </c>
      <c r="T21" s="3">
        <v>2027</v>
      </c>
      <c r="U21" s="3" t="s">
        <v>489</v>
      </c>
      <c r="V21" s="3" t="s">
        <v>136</v>
      </c>
      <c r="W21" s="3" t="s">
        <v>108</v>
      </c>
      <c r="X21" s="67">
        <v>2064892.5</v>
      </c>
      <c r="Y21" s="67">
        <v>2064892.5</v>
      </c>
      <c r="Z21" s="68">
        <v>4.287</v>
      </c>
      <c r="AA21" s="68">
        <v>4.300000000000001</v>
      </c>
      <c r="AB21" s="68">
        <v>4.726999999999999</v>
      </c>
      <c r="AC21" s="68" t="s">
        <v>15</v>
      </c>
      <c r="AD21" s="68">
        <v>4.287</v>
      </c>
      <c r="AE21" s="68">
        <v>9.99</v>
      </c>
      <c r="AF21" s="68">
        <v>9.99</v>
      </c>
      <c r="AG21" s="68">
        <v>9.99</v>
      </c>
      <c r="AH21" s="68" t="s">
        <v>15</v>
      </c>
      <c r="AI21" s="68">
        <v>9.99</v>
      </c>
    </row>
    <row r="22">
      <c r="A22" s="61" t="s">
        <v>435</v>
      </c>
      <c r="B22" s="71" t="str">
        <f>HYPERLINK("https://www.google.com/maps/place/41°20'58.40000000002328""N,75°13'44.96999999997206""W/data=!3m1!1e3", "30059")</f>
        <v>30059</v>
      </c>
      <c r="C22" s="62">
        <v>4</v>
      </c>
      <c r="D22" s="61" t="s">
        <v>345</v>
      </c>
      <c r="E22" s="61" t="s">
        <v>347</v>
      </c>
      <c r="F22" s="61"/>
      <c r="G22" s="61" t="s">
        <v>437</v>
      </c>
      <c r="H22" s="61" t="s">
        <v>438</v>
      </c>
      <c r="I22" s="61" t="s">
        <v>439</v>
      </c>
      <c r="J22" s="63">
        <v>29</v>
      </c>
      <c r="K22" s="63">
        <v>696</v>
      </c>
      <c r="L22" s="62" t="s">
        <v>15</v>
      </c>
      <c r="M22" s="61" t="s">
        <v>369</v>
      </c>
      <c r="N22" s="61" t="s">
        <v>62</v>
      </c>
      <c r="O22" s="62" t="s">
        <v>39</v>
      </c>
      <c r="P22" s="62" t="s">
        <v>15</v>
      </c>
      <c r="Q22" s="62" t="s">
        <v>15</v>
      </c>
      <c r="R22" s="63">
        <v>280</v>
      </c>
      <c r="S22" s="61">
        <v>2026</v>
      </c>
      <c r="T22" s="61">
        <v>2026</v>
      </c>
      <c r="U22" s="61" t="s">
        <v>489</v>
      </c>
      <c r="V22" s="61" t="s">
        <v>136</v>
      </c>
      <c r="W22" s="61" t="s">
        <v>110</v>
      </c>
      <c r="X22" s="64">
        <v>1183200</v>
      </c>
      <c r="Y22" s="64">
        <v>1183200</v>
      </c>
      <c r="Z22" s="65">
        <v>4.286</v>
      </c>
      <c r="AA22" s="65">
        <v>4.313000000000001</v>
      </c>
      <c r="AB22" s="65">
        <v>7.063</v>
      </c>
      <c r="AC22" s="65" t="s">
        <v>15</v>
      </c>
      <c r="AD22" s="65">
        <v>4.286</v>
      </c>
      <c r="AE22" s="65">
        <v>9.99</v>
      </c>
      <c r="AF22" s="65">
        <v>9.99</v>
      </c>
      <c r="AG22" s="65">
        <v>9.99</v>
      </c>
      <c r="AH22" s="65" t="s">
        <v>15</v>
      </c>
      <c r="AI22" s="65">
        <v>9.99</v>
      </c>
    </row>
    <row r="23">
      <c r="A23" s="3" t="s">
        <v>440</v>
      </c>
      <c r="B23" s="71" t="str">
        <f>HYPERLINK("https://www.google.com/maps/place/41°24'27.229999999981374""N,74°58'50.71999999997206""W/data=!3m1!1e3", "30066")</f>
        <v>30066</v>
      </c>
      <c r="C23" s="7">
        <v>4</v>
      </c>
      <c r="D23" s="3" t="s">
        <v>345</v>
      </c>
      <c r="E23" s="3" t="s">
        <v>347</v>
      </c>
      <c r="F23" s="3"/>
      <c r="G23" s="3" t="s">
        <v>442</v>
      </c>
      <c r="H23" s="3" t="s">
        <v>443</v>
      </c>
      <c r="I23" s="3" t="s">
        <v>444</v>
      </c>
      <c r="J23" s="66">
        <v>40</v>
      </c>
      <c r="K23" s="66">
        <v>972</v>
      </c>
      <c r="L23" s="7" t="s">
        <v>15</v>
      </c>
      <c r="M23" s="3" t="s">
        <v>369</v>
      </c>
      <c r="N23" s="3" t="s">
        <v>62</v>
      </c>
      <c r="O23" s="7" t="s">
        <v>39</v>
      </c>
      <c r="P23" s="7" t="s">
        <v>15</v>
      </c>
      <c r="Q23" s="7" t="s">
        <v>15</v>
      </c>
      <c r="R23" s="66">
        <v>220</v>
      </c>
      <c r="S23" s="3">
        <v>2026</v>
      </c>
      <c r="T23" s="3">
        <v>2026</v>
      </c>
      <c r="U23" s="3" t="s">
        <v>489</v>
      </c>
      <c r="V23" s="3" t="s">
        <v>136</v>
      </c>
      <c r="W23" s="3" t="s">
        <v>128</v>
      </c>
      <c r="X23" s="67">
        <v>437400</v>
      </c>
      <c r="Y23" s="67">
        <v>437400</v>
      </c>
      <c r="Z23" s="68">
        <v>4.587000000000001</v>
      </c>
      <c r="AA23" s="68">
        <v>4.5809999999999995</v>
      </c>
      <c r="AB23" s="68">
        <v>5.512000000000001</v>
      </c>
      <c r="AC23" s="68" t="s">
        <v>15</v>
      </c>
      <c r="AD23" s="68">
        <v>4.5809999999999995</v>
      </c>
      <c r="AE23" s="68">
        <v>9.99</v>
      </c>
      <c r="AF23" s="68">
        <v>9.99</v>
      </c>
      <c r="AG23" s="68">
        <v>6.99</v>
      </c>
      <c r="AH23" s="68" t="s">
        <v>15</v>
      </c>
      <c r="AI23" s="68">
        <v>6.99</v>
      </c>
    </row>
    <row r="24">
      <c r="A24" s="61" t="s">
        <v>445</v>
      </c>
      <c r="B24" s="71" t="str">
        <f>HYPERLINK("https://www.google.com/maps/place/41°25'9.309999999997672""N,74°58'52.839999999967404""W/data=!3m1!1e3", "30067")</f>
        <v>30067</v>
      </c>
      <c r="C24" s="62">
        <v>4</v>
      </c>
      <c r="D24" s="61" t="s">
        <v>345</v>
      </c>
      <c r="E24" s="61" t="s">
        <v>347</v>
      </c>
      <c r="F24" s="61"/>
      <c r="G24" s="61" t="s">
        <v>410</v>
      </c>
      <c r="H24" s="61" t="s">
        <v>446</v>
      </c>
      <c r="I24" s="61" t="s">
        <v>447</v>
      </c>
      <c r="J24" s="63">
        <v>36</v>
      </c>
      <c r="K24" s="63">
        <v>640.8</v>
      </c>
      <c r="L24" s="62" t="s">
        <v>15</v>
      </c>
      <c r="M24" s="61" t="s">
        <v>448</v>
      </c>
      <c r="N24" s="61" t="s">
        <v>62</v>
      </c>
      <c r="O24" s="62" t="s">
        <v>39</v>
      </c>
      <c r="P24" s="62" t="s">
        <v>15</v>
      </c>
      <c r="Q24" s="62" t="s">
        <v>15</v>
      </c>
      <c r="R24" s="63">
        <v>179</v>
      </c>
      <c r="S24" s="61">
        <v>2031</v>
      </c>
      <c r="T24" s="61">
        <v>2031</v>
      </c>
      <c r="U24" s="61" t="s">
        <v>489</v>
      </c>
      <c r="V24" s="61" t="s">
        <v>136</v>
      </c>
      <c r="W24" s="61" t="s">
        <v>108</v>
      </c>
      <c r="X24" s="64">
        <v>1043346.6668700001</v>
      </c>
      <c r="Y24" s="64">
        <v>1043346.6668700001</v>
      </c>
      <c r="Z24" s="65">
        <v>8.917</v>
      </c>
      <c r="AA24" s="65">
        <v>4.265</v>
      </c>
      <c r="AB24" s="65">
        <v>4.303</v>
      </c>
      <c r="AC24" s="65" t="s">
        <v>15</v>
      </c>
      <c r="AD24" s="65">
        <v>4.265</v>
      </c>
      <c r="AE24" s="65">
        <v>9.99</v>
      </c>
      <c r="AF24" s="65">
        <v>9.99</v>
      </c>
      <c r="AG24" s="65">
        <v>9.99</v>
      </c>
      <c r="AH24" s="65" t="s">
        <v>15</v>
      </c>
      <c r="AI24" s="65">
        <v>9.99</v>
      </c>
    </row>
    <row r="25">
      <c r="A25" s="3" t="s">
        <v>450</v>
      </c>
      <c r="B25" s="71" t="str">
        <f>HYPERLINK("https://www.google.com/maps/place/41°19'37.54999999998836""N,74°47'49.56000000005588""W/data=!3m1!1e3", "30069")</f>
        <v>30069</v>
      </c>
      <c r="C25" s="7">
        <v>4</v>
      </c>
      <c r="D25" s="3" t="s">
        <v>345</v>
      </c>
      <c r="E25" s="3" t="s">
        <v>347</v>
      </c>
      <c r="F25" s="3"/>
      <c r="G25" s="3" t="s">
        <v>451</v>
      </c>
      <c r="H25" s="3" t="s">
        <v>452</v>
      </c>
      <c r="I25" s="3" t="s">
        <v>453</v>
      </c>
      <c r="J25" s="66">
        <v>24</v>
      </c>
      <c r="K25" s="66">
        <v>580.8</v>
      </c>
      <c r="L25" s="7" t="s">
        <v>15</v>
      </c>
      <c r="M25" s="3" t="s">
        <v>454</v>
      </c>
      <c r="N25" s="3" t="s">
        <v>62</v>
      </c>
      <c r="O25" s="7" t="s">
        <v>39</v>
      </c>
      <c r="P25" s="7" t="s">
        <v>15</v>
      </c>
      <c r="Q25" s="7" t="s">
        <v>15</v>
      </c>
      <c r="R25" s="66">
        <v>170</v>
      </c>
      <c r="S25" s="3">
        <v>2029</v>
      </c>
      <c r="T25" s="3">
        <v>2029</v>
      </c>
      <c r="U25" s="3" t="s">
        <v>489</v>
      </c>
      <c r="V25" s="3" t="s">
        <v>136</v>
      </c>
      <c r="W25" s="3" t="s">
        <v>110</v>
      </c>
      <c r="X25" s="67">
        <v>1078914.9307199998</v>
      </c>
      <c r="Y25" s="67">
        <v>1078914.9307199998</v>
      </c>
      <c r="Z25" s="68">
        <v>9.2</v>
      </c>
      <c r="AA25" s="68">
        <v>4.537</v>
      </c>
      <c r="AB25" s="68">
        <v>5.179</v>
      </c>
      <c r="AC25" s="68" t="s">
        <v>15</v>
      </c>
      <c r="AD25" s="68">
        <v>4.537</v>
      </c>
      <c r="AE25" s="68">
        <v>9.99</v>
      </c>
      <c r="AF25" s="68">
        <v>9.99</v>
      </c>
      <c r="AG25" s="68">
        <v>9.99</v>
      </c>
      <c r="AH25" s="68" t="s">
        <v>15</v>
      </c>
      <c r="AI25" s="68">
        <v>9.99</v>
      </c>
    </row>
    <row r="26">
      <c r="A26" s="61" t="s">
        <v>455</v>
      </c>
      <c r="B26" s="71" t="str">
        <f>HYPERLINK("https://www.google.com/maps/place/41°19'0.47999999998137355""N,74°47'57.10999999998603""W/data=!3m1!1e3", "30070")</f>
        <v>30070</v>
      </c>
      <c r="C26" s="62">
        <v>4</v>
      </c>
      <c r="D26" s="61" t="s">
        <v>345</v>
      </c>
      <c r="E26" s="61" t="s">
        <v>347</v>
      </c>
      <c r="F26" s="61"/>
      <c r="G26" s="61" t="s">
        <v>456</v>
      </c>
      <c r="H26" s="61" t="s">
        <v>457</v>
      </c>
      <c r="I26" s="61" t="s">
        <v>458</v>
      </c>
      <c r="J26" s="63">
        <v>53</v>
      </c>
      <c r="K26" s="63">
        <v>1287.9</v>
      </c>
      <c r="L26" s="62" t="s">
        <v>15</v>
      </c>
      <c r="M26" s="61" t="s">
        <v>369</v>
      </c>
      <c r="N26" s="61" t="s">
        <v>62</v>
      </c>
      <c r="O26" s="62" t="s">
        <v>39</v>
      </c>
      <c r="P26" s="62" t="s">
        <v>15</v>
      </c>
      <c r="Q26" s="62" t="s">
        <v>15</v>
      </c>
      <c r="R26" s="63">
        <v>254</v>
      </c>
      <c r="S26" s="61">
        <v>2027</v>
      </c>
      <c r="T26" s="61">
        <v>2027</v>
      </c>
      <c r="U26" s="61" t="s">
        <v>489</v>
      </c>
      <c r="V26" s="61" t="s">
        <v>136</v>
      </c>
      <c r="W26" s="61" t="s">
        <v>108</v>
      </c>
      <c r="X26" s="64">
        <v>1459190.7</v>
      </c>
      <c r="Y26" s="64">
        <v>1459190.7</v>
      </c>
      <c r="Z26" s="65">
        <v>4.303999999999999</v>
      </c>
      <c r="AA26" s="65">
        <v>4.329000000000001</v>
      </c>
      <c r="AB26" s="65">
        <v>4.225</v>
      </c>
      <c r="AC26" s="65" t="s">
        <v>15</v>
      </c>
      <c r="AD26" s="65">
        <v>4.225</v>
      </c>
      <c r="AE26" s="65">
        <v>9.99</v>
      </c>
      <c r="AF26" s="65">
        <v>9.99</v>
      </c>
      <c r="AG26" s="65">
        <v>9.99</v>
      </c>
      <c r="AH26" s="65" t="s">
        <v>15</v>
      </c>
      <c r="AI26" s="65">
        <v>9.99</v>
      </c>
    </row>
  </sheetData>
  <autoFilter ref="A3:AI3"/>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T1"/>
    <mergeCell ref="Z1:AC1"/>
    <mergeCell ref="AE1:AH1"/>
    <mergeCell ref="U1:U2"/>
    <mergeCell ref="V1:V2"/>
    <mergeCell ref="W1:W2"/>
    <mergeCell ref="X1:X2"/>
    <mergeCell ref="Y1:Y2"/>
    <mergeCell ref="AD1:AD2"/>
    <mergeCell ref="AI1:AI2"/>
  </mergeCells>
  <headerFooter/>
</worksheet>
</file>

<file path=xl/worksheets/sheet5.xml><?xml version="1.0" encoding="utf-8"?>
<worksheet xmlns:r="http://schemas.openxmlformats.org/officeDocument/2006/relationships" xmlns="http://schemas.openxmlformats.org/spreadsheetml/2006/main">
  <dimension ref="A1:AK2"/>
  <sheetViews>
    <sheetView workbookViewId="0"/>
  </sheetViews>
  <sheetFormatPr defaultRowHeight="15"/>
  <cols>
    <col min="1" max="1" width="9.140625" customWidth="1"/>
    <col min="2" max="2" width="10.714285714285714"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714285714285714"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23.29299545288086" customWidth="1"/>
    <col min="38" max="16384" width="9.140625" customWidth="1"/>
  </cols>
  <sheetData>
    <row r="1" ht="15" customHeight="1">
      <c r="A1" s="58" t="s">
        <v>459</v>
      </c>
      <c r="B1" s="58" t="s">
        <v>460</v>
      </c>
      <c r="C1" s="58" t="s">
        <v>461</v>
      </c>
      <c r="D1" s="58" t="s">
        <v>462</v>
      </c>
      <c r="E1" s="58" t="s">
        <v>463</v>
      </c>
      <c r="F1" s="58" t="s">
        <v>464</v>
      </c>
      <c r="G1" s="58" t="s">
        <v>465</v>
      </c>
      <c r="H1" s="58" t="s">
        <v>466</v>
      </c>
      <c r="I1" s="58" t="s">
        <v>467</v>
      </c>
      <c r="J1" s="58" t="s">
        <v>468</v>
      </c>
      <c r="K1" s="58" t="s">
        <v>469</v>
      </c>
      <c r="L1" s="58" t="s">
        <v>470</v>
      </c>
      <c r="M1" s="58" t="s">
        <v>471</v>
      </c>
      <c r="N1" s="58" t="s">
        <v>472</v>
      </c>
      <c r="O1" s="58" t="s">
        <v>473</v>
      </c>
      <c r="P1" s="58" t="s">
        <v>12</v>
      </c>
      <c r="Q1" s="58" t="s">
        <v>283</v>
      </c>
      <c r="R1" s="58" t="s">
        <v>474</v>
      </c>
      <c r="S1" s="58" t="s">
        <v>300</v>
      </c>
      <c r="T1" s="58" t="s">
        <v>363</v>
      </c>
      <c r="U1" s="58" t="s">
        <v>363</v>
      </c>
      <c r="V1" s="58" t="s">
        <v>363</v>
      </c>
      <c r="W1" s="58" t="s">
        <v>363</v>
      </c>
      <c r="X1" s="58" t="s">
        <v>363</v>
      </c>
      <c r="Y1" s="58" t="s">
        <v>490</v>
      </c>
      <c r="Z1" s="59" t="s">
        <v>491</v>
      </c>
      <c r="AA1" s="59" t="s">
        <v>492</v>
      </c>
      <c r="AB1" s="59" t="s">
        <v>493</v>
      </c>
      <c r="AC1" s="59" t="s">
        <v>494</v>
      </c>
      <c r="AD1" s="59" t="s">
        <v>495</v>
      </c>
      <c r="AE1" s="59" t="s">
        <v>496</v>
      </c>
      <c r="AF1" s="59" t="s">
        <v>497</v>
      </c>
      <c r="AG1" s="59" t="s">
        <v>498</v>
      </c>
      <c r="AH1" s="58" t="s">
        <v>499</v>
      </c>
      <c r="AI1" s="58" t="s">
        <v>336</v>
      </c>
      <c r="AK1" s="3" t="s">
        <v>500</v>
      </c>
    </row>
    <row r="2" ht="15" customHeight="1">
      <c r="A2" s="58"/>
      <c r="B2" s="58"/>
      <c r="C2" s="58"/>
      <c r="D2" s="58"/>
      <c r="E2" s="58"/>
      <c r="F2" s="58"/>
      <c r="G2" s="58"/>
      <c r="H2" s="58"/>
      <c r="I2" s="58"/>
      <c r="J2" s="58"/>
      <c r="K2" s="58"/>
      <c r="L2" s="58"/>
      <c r="M2" s="58"/>
      <c r="N2" s="58"/>
      <c r="O2" s="58"/>
      <c r="P2" s="58"/>
      <c r="Q2" s="58"/>
      <c r="R2" s="58"/>
      <c r="S2" s="58" t="s">
        <v>316</v>
      </c>
      <c r="T2" s="58" t="s">
        <v>317</v>
      </c>
      <c r="U2" s="58" t="s">
        <v>318</v>
      </c>
      <c r="V2" s="58" t="s">
        <v>319</v>
      </c>
      <c r="W2" s="58" t="s">
        <v>501</v>
      </c>
      <c r="X2" s="58" t="s">
        <v>321</v>
      </c>
      <c r="Y2" s="58"/>
      <c r="Z2" s="58"/>
      <c r="AA2" s="58"/>
      <c r="AB2" s="58"/>
      <c r="AC2" s="58"/>
      <c r="AD2" s="58"/>
      <c r="AE2" s="58"/>
      <c r="AF2" s="58"/>
      <c r="AG2" s="58"/>
      <c r="AH2" s="58"/>
      <c r="AI2" s="58"/>
      <c r="AK2" s="67">
        <f>=SUM(AI:AI)</f>
      </c>
    </row>
  </sheetData>
  <autoFilter ref="A3:AI3"/>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X1"/>
    <mergeCell ref="Y1:Y2"/>
    <mergeCell ref="Z1:Z2"/>
    <mergeCell ref="AA1:AA2"/>
    <mergeCell ref="AB1:AB2"/>
    <mergeCell ref="AC1:AC2"/>
    <mergeCell ref="AD1:AD2"/>
    <mergeCell ref="AE1:AE2"/>
    <mergeCell ref="AF1:AF2"/>
    <mergeCell ref="AG1:AG2"/>
    <mergeCell ref="AH1:AH2"/>
    <mergeCell ref="AI1:AI2"/>
  </mergeCells>
  <headerFooter/>
</worksheet>
</file>

<file path=xl/worksheets/sheet6.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9.140625" customWidth="1"/>
    <col min="2" max="2" width="10.714285714285714"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714285714285714"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16384" width="0" customWidth="1"/>
  </cols>
  <sheetData>
    <row r="1" ht="15" customHeight="1">
      <c r="A1" s="58" t="s">
        <v>459</v>
      </c>
      <c r="B1" s="58" t="s">
        <v>460</v>
      </c>
      <c r="C1" s="58" t="s">
        <v>461</v>
      </c>
      <c r="D1" s="58" t="s">
        <v>462</v>
      </c>
      <c r="E1" s="58" t="s">
        <v>463</v>
      </c>
      <c r="F1" s="58" t="s">
        <v>464</v>
      </c>
      <c r="G1" s="58" t="s">
        <v>465</v>
      </c>
      <c r="H1" s="58" t="s">
        <v>466</v>
      </c>
      <c r="I1" s="58" t="s">
        <v>467</v>
      </c>
      <c r="J1" s="58" t="s">
        <v>468</v>
      </c>
      <c r="K1" s="58" t="s">
        <v>469</v>
      </c>
      <c r="L1" s="58" t="s">
        <v>470</v>
      </c>
      <c r="M1" s="58" t="s">
        <v>471</v>
      </c>
      <c r="N1" s="58" t="s">
        <v>472</v>
      </c>
      <c r="O1" s="58" t="s">
        <v>473</v>
      </c>
      <c r="P1" s="58" t="s">
        <v>12</v>
      </c>
      <c r="Q1" s="58" t="s">
        <v>283</v>
      </c>
      <c r="R1" s="58" t="s">
        <v>474</v>
      </c>
      <c r="S1" s="58" t="s">
        <v>300</v>
      </c>
      <c r="T1" s="58" t="s">
        <v>363</v>
      </c>
      <c r="U1" s="58" t="s">
        <v>363</v>
      </c>
      <c r="V1" s="58" t="s">
        <v>363</v>
      </c>
      <c r="W1" s="58" t="s">
        <v>363</v>
      </c>
      <c r="X1" s="58" t="s">
        <v>363</v>
      </c>
      <c r="Y1" s="58" t="s">
        <v>490</v>
      </c>
      <c r="Z1" s="59" t="s">
        <v>491</v>
      </c>
      <c r="AA1" s="59" t="s">
        <v>492</v>
      </c>
      <c r="AB1" s="59" t="s">
        <v>493</v>
      </c>
      <c r="AC1" s="59" t="s">
        <v>494</v>
      </c>
      <c r="AD1" s="59" t="s">
        <v>495</v>
      </c>
      <c r="AE1" s="59" t="s">
        <v>496</v>
      </c>
      <c r="AF1" s="59" t="s">
        <v>497</v>
      </c>
      <c r="AG1" s="59" t="s">
        <v>498</v>
      </c>
      <c r="AH1" s="58" t="s">
        <v>499</v>
      </c>
      <c r="AI1" s="58" t="s">
        <v>336</v>
      </c>
    </row>
    <row r="2" ht="15" customHeight="1">
      <c r="A2" s="58"/>
      <c r="B2" s="58"/>
      <c r="C2" s="58"/>
      <c r="D2" s="58"/>
      <c r="E2" s="58"/>
      <c r="F2" s="58"/>
      <c r="G2" s="58"/>
      <c r="H2" s="58"/>
      <c r="I2" s="58"/>
      <c r="J2" s="58"/>
      <c r="K2" s="58"/>
      <c r="L2" s="58"/>
      <c r="M2" s="58"/>
      <c r="N2" s="58"/>
      <c r="O2" s="58"/>
      <c r="P2" s="58"/>
      <c r="Q2" s="58"/>
      <c r="R2" s="58"/>
      <c r="S2" s="58" t="s">
        <v>316</v>
      </c>
      <c r="T2" s="58" t="s">
        <v>317</v>
      </c>
      <c r="U2" s="58" t="s">
        <v>318</v>
      </c>
      <c r="V2" s="58" t="s">
        <v>319</v>
      </c>
      <c r="W2" s="58" t="s">
        <v>501</v>
      </c>
      <c r="X2" s="58" t="s">
        <v>321</v>
      </c>
      <c r="Y2" s="58"/>
      <c r="Z2" s="58"/>
      <c r="AA2" s="58"/>
      <c r="AB2" s="58"/>
      <c r="AC2" s="58"/>
      <c r="AD2" s="58"/>
      <c r="AE2" s="58"/>
      <c r="AF2" s="58"/>
      <c r="AG2" s="58"/>
      <c r="AH2" s="58"/>
      <c r="AI2" s="58"/>
    </row>
  </sheetData>
  <autoFilter ref="A3:AI3"/>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X1"/>
    <mergeCell ref="Y1:Y2"/>
    <mergeCell ref="Z1:Z2"/>
    <mergeCell ref="AA1:AA2"/>
    <mergeCell ref="AB1:AB2"/>
    <mergeCell ref="AC1:AC2"/>
    <mergeCell ref="AD1:AD2"/>
    <mergeCell ref="AE1:AE2"/>
    <mergeCell ref="AF1:AF2"/>
    <mergeCell ref="AG1:AG2"/>
    <mergeCell ref="AH1:AH2"/>
    <mergeCell ref="AI1:AI2"/>
  </mergeCells>
  <headerFooter/>
</worksheet>
</file>

<file path=xl/worksheets/sheet7.xml><?xml version="1.0" encoding="utf-8"?>
<worksheet xmlns:r="http://schemas.openxmlformats.org/officeDocument/2006/relationships" xmlns="http://schemas.openxmlformats.org/spreadsheetml/2006/main">
  <dimension ref="A2:P345"/>
  <sheetViews>
    <sheetView workbookViewId="0"/>
  </sheetViews>
  <sheetFormatPr defaultRowHeight="15"/>
  <cols>
    <col min="1" max="1" width="36.88032913208008" customWidth="1"/>
    <col min="2" max="2" width="9.140625" customWidth="1"/>
    <col min="3" max="3" width="16.386281967163086" customWidth="1"/>
    <col min="4" max="4" width="15.292625427246094" customWidth="1"/>
    <col min="5" max="5" width="12.560017585754395" customWidth="1"/>
    <col min="6" max="6" width="15.292625427246094" customWidth="1"/>
    <col min="7" max="7" width="12.560017585754395" customWidth="1"/>
    <col min="8" max="8" width="15.292625427246094" customWidth="1"/>
    <col min="9" max="9" width="12.560017585754395" customWidth="1"/>
    <col min="10" max="10" width="12.560017585754395" customWidth="1"/>
    <col min="11" max="11" width="12.560017585754395" customWidth="1"/>
    <col min="12" max="12" width="12.560017585754395" customWidth="1"/>
    <col min="13" max="13" width="15.292625427246094" customWidth="1"/>
    <col min="14" max="14" width="13.653674125671387" customWidth="1"/>
    <col min="15" max="15" width="9.140625" customWidth="1"/>
    <col min="16" max="16" width="41.20072555541992" customWidth="1"/>
  </cols>
  <sheetData>
    <row r="2">
      <c r="A2" s="22" t="s">
        <v>363</v>
      </c>
      <c r="C2" s="22" t="s">
        <v>502</v>
      </c>
      <c r="D2" s="22"/>
      <c r="E2" s="22"/>
      <c r="F2" s="22"/>
      <c r="G2" s="22"/>
      <c r="H2" s="22"/>
      <c r="I2" s="22"/>
      <c r="J2" s="22"/>
      <c r="K2" s="22"/>
      <c r="L2" s="22"/>
      <c r="M2" s="22"/>
    </row>
    <row r="3">
      <c r="A3" s="22"/>
      <c r="C3" s="22">
        <v>2026</v>
      </c>
      <c r="D3" s="22">
        <v>2027</v>
      </c>
      <c r="E3" s="22">
        <v>2028</v>
      </c>
      <c r="F3" s="22">
        <v>2029</v>
      </c>
      <c r="G3" s="22">
        <v>2030</v>
      </c>
      <c r="H3" s="22">
        <v>2031</v>
      </c>
      <c r="I3" s="22">
        <v>2032</v>
      </c>
      <c r="J3" s="22">
        <v>2033</v>
      </c>
      <c r="K3" s="22">
        <v>2034</v>
      </c>
      <c r="L3" s="22">
        <v>2035</v>
      </c>
      <c r="M3" s="22">
        <v>2036</v>
      </c>
      <c r="N3" s="22" t="s">
        <v>503</v>
      </c>
    </row>
    <row r="4">
      <c r="A4" s="3" t="s">
        <v>504</v>
      </c>
      <c r="B4" s="3"/>
      <c r="C4" s="82">
        <v>0</v>
      </c>
      <c r="D4" s="82">
        <v>0</v>
      </c>
      <c r="E4" s="82">
        <v>0</v>
      </c>
      <c r="F4" s="82">
        <v>0</v>
      </c>
      <c r="G4" s="82">
        <v>0</v>
      </c>
      <c r="H4" s="82">
        <v>0</v>
      </c>
      <c r="I4" s="82">
        <v>0</v>
      </c>
      <c r="J4" s="82">
        <v>0</v>
      </c>
      <c r="K4" s="82">
        <v>0</v>
      </c>
      <c r="L4" s="82">
        <v>0</v>
      </c>
      <c r="M4" s="82">
        <v>0</v>
      </c>
      <c r="N4" s="72">
        <f>SUM(C4:M4)</f>
        <v>0</v>
      </c>
      <c r="O4" s="81">
        <f>N4/764577265.00000000000000000000</f>
        <v>0</v>
      </c>
      <c r="P4" s="0" t="s">
        <v>505</v>
      </c>
    </row>
    <row r="5">
      <c r="A5" s="3" t="s">
        <v>506</v>
      </c>
      <c r="B5" s="3"/>
      <c r="C5" s="83">
        <v>0</v>
      </c>
      <c r="D5" s="83">
        <v>0</v>
      </c>
      <c r="E5" s="83">
        <v>0</v>
      </c>
      <c r="F5" s="83">
        <v>0</v>
      </c>
      <c r="G5" s="83">
        <v>0</v>
      </c>
      <c r="H5" s="83">
        <v>0</v>
      </c>
      <c r="I5" s="83">
        <v>0</v>
      </c>
      <c r="J5" s="83">
        <v>0</v>
      </c>
      <c r="K5" s="83">
        <v>0</v>
      </c>
      <c r="L5" s="83">
        <v>0</v>
      </c>
      <c r="M5" s="83">
        <v>0</v>
      </c>
      <c r="N5" s="3"/>
    </row>
    <row r="6">
      <c r="A6" s="3" t="s">
        <v>507</v>
      </c>
      <c r="B6" s="3"/>
      <c r="C6" s="83">
        <v>0</v>
      </c>
      <c r="D6" s="83">
        <v>0</v>
      </c>
      <c r="E6" s="83">
        <v>0</v>
      </c>
      <c r="F6" s="83">
        <v>0</v>
      </c>
      <c r="G6" s="83">
        <v>0</v>
      </c>
      <c r="H6" s="83">
        <v>0</v>
      </c>
      <c r="I6" s="83">
        <v>0</v>
      </c>
      <c r="J6" s="83">
        <v>0</v>
      </c>
      <c r="K6" s="83">
        <v>0</v>
      </c>
      <c r="L6" s="83">
        <v>0</v>
      </c>
      <c r="M6" s="83">
        <v>0</v>
      </c>
      <c r="N6" s="3"/>
    </row>
    <row r="7">
      <c r="A7" s="3" t="s">
        <v>508</v>
      </c>
      <c r="B7" s="3"/>
      <c r="C7" s="83">
        <v>0</v>
      </c>
      <c r="D7" s="83">
        <v>0</v>
      </c>
      <c r="E7" s="83">
        <v>0</v>
      </c>
      <c r="F7" s="83">
        <v>0</v>
      </c>
      <c r="G7" s="83">
        <v>0</v>
      </c>
      <c r="H7" s="83">
        <v>0</v>
      </c>
      <c r="I7" s="83">
        <v>0</v>
      </c>
      <c r="J7" s="83">
        <v>0</v>
      </c>
      <c r="K7" s="83">
        <v>0</v>
      </c>
      <c r="L7" s="83">
        <v>0</v>
      </c>
      <c r="M7" s="83">
        <v>0</v>
      </c>
      <c r="N7" s="3"/>
    </row>
    <row r="8">
      <c r="A8" s="3" t="s">
        <v>509</v>
      </c>
      <c r="B8" s="3"/>
      <c r="C8" s="83">
        <v>0</v>
      </c>
      <c r="D8" s="83">
        <v>0</v>
      </c>
      <c r="E8" s="83">
        <v>0</v>
      </c>
      <c r="F8" s="83">
        <v>0</v>
      </c>
      <c r="G8" s="83">
        <v>0</v>
      </c>
      <c r="H8" s="83">
        <v>0</v>
      </c>
      <c r="I8" s="83">
        <v>0</v>
      </c>
      <c r="J8" s="83">
        <v>0</v>
      </c>
      <c r="K8" s="83">
        <v>0</v>
      </c>
      <c r="L8" s="83">
        <v>0</v>
      </c>
      <c r="M8" s="83">
        <v>0</v>
      </c>
      <c r="N8" s="3"/>
    </row>
    <row r="9">
      <c r="A9" s="3" t="s">
        <v>510</v>
      </c>
      <c r="B9" s="3"/>
      <c r="C9" s="83">
        <v>0</v>
      </c>
      <c r="D9" s="83">
        <v>0</v>
      </c>
      <c r="E9" s="83">
        <v>0</v>
      </c>
      <c r="F9" s="83">
        <v>0</v>
      </c>
      <c r="G9" s="83">
        <v>0</v>
      </c>
      <c r="H9" s="83">
        <v>0</v>
      </c>
      <c r="I9" s="83">
        <v>0</v>
      </c>
      <c r="J9" s="83">
        <v>0</v>
      </c>
      <c r="K9" s="83">
        <v>0</v>
      </c>
      <c r="L9" s="83">
        <v>0</v>
      </c>
      <c r="M9" s="83">
        <v>0</v>
      </c>
      <c r="N9" s="3"/>
    </row>
    <row r="11">
      <c r="A11" s="22" t="s">
        <v>511</v>
      </c>
      <c r="C11" s="22" t="s">
        <v>512</v>
      </c>
      <c r="D11" s="22"/>
      <c r="E11" s="22"/>
      <c r="F11" s="22"/>
      <c r="G11" s="22"/>
      <c r="H11" s="22"/>
      <c r="I11" s="22"/>
      <c r="J11" s="22"/>
      <c r="K11" s="22"/>
      <c r="L11" s="22"/>
      <c r="M11" s="22"/>
    </row>
    <row r="12">
      <c r="A12" s="22"/>
      <c r="C12" s="22">
        <v>2026</v>
      </c>
      <c r="D12" s="22">
        <v>2027</v>
      </c>
      <c r="E12" s="22">
        <v>2028</v>
      </c>
      <c r="F12" s="22">
        <v>2029</v>
      </c>
      <c r="G12" s="22">
        <v>2030</v>
      </c>
      <c r="H12" s="22">
        <v>2031</v>
      </c>
      <c r="I12" s="22">
        <v>2032</v>
      </c>
      <c r="J12" s="22">
        <v>2033</v>
      </c>
      <c r="K12" s="22">
        <v>2034</v>
      </c>
      <c r="L12" s="22">
        <v>2035</v>
      </c>
      <c r="M12" s="22">
        <v>2036</v>
      </c>
    </row>
    <row r="13">
      <c r="A13" s="3" t="s">
        <v>513</v>
      </c>
      <c r="B13" s="3"/>
      <c r="C13" s="74">
        <v>0</v>
      </c>
      <c r="D13" s="74">
        <v>0</v>
      </c>
      <c r="E13" s="74">
        <v>0</v>
      </c>
      <c r="F13" s="74">
        <v>0</v>
      </c>
      <c r="G13" s="74">
        <v>0</v>
      </c>
      <c r="H13" s="74">
        <v>0</v>
      </c>
      <c r="I13" s="74">
        <v>0</v>
      </c>
      <c r="J13" s="74">
        <v>0</v>
      </c>
      <c r="K13" s="74">
        <v>0</v>
      </c>
      <c r="L13" s="74">
        <v>0</v>
      </c>
      <c r="M13" s="74">
        <v>0</v>
      </c>
    </row>
    <row r="15">
      <c r="A15" s="22" t="s">
        <v>514</v>
      </c>
      <c r="C15" s="22" t="s">
        <v>515</v>
      </c>
      <c r="D15" s="22"/>
      <c r="E15" s="22"/>
      <c r="F15" s="22"/>
      <c r="G15" s="22"/>
      <c r="H15" s="22"/>
      <c r="I15" s="22"/>
      <c r="J15" s="22"/>
      <c r="K15" s="22"/>
      <c r="L15" s="22"/>
      <c r="M15" s="22"/>
    </row>
    <row r="16">
      <c r="A16" s="22"/>
      <c r="C16" s="22">
        <v>2026</v>
      </c>
      <c r="D16" s="22">
        <v>2027</v>
      </c>
      <c r="E16" s="22">
        <v>2028</v>
      </c>
      <c r="F16" s="22">
        <v>2029</v>
      </c>
      <c r="G16" s="22">
        <v>2030</v>
      </c>
      <c r="H16" s="22">
        <v>2031</v>
      </c>
      <c r="I16" s="22">
        <v>2032</v>
      </c>
      <c r="J16" s="22">
        <v>2033</v>
      </c>
      <c r="K16" s="22">
        <v>2034</v>
      </c>
      <c r="L16" s="22">
        <v>2035</v>
      </c>
      <c r="M16" s="22">
        <v>2036</v>
      </c>
    </row>
    <row r="17">
      <c r="A17" s="3" t="s">
        <v>513</v>
      </c>
      <c r="B17" s="3"/>
      <c r="C17" s="74">
        <v>0</v>
      </c>
      <c r="D17" s="74">
        <v>0</v>
      </c>
      <c r="E17" s="74">
        <v>0</v>
      </c>
      <c r="F17" s="74">
        <v>0</v>
      </c>
      <c r="G17" s="74">
        <v>0</v>
      </c>
      <c r="H17" s="74">
        <v>0</v>
      </c>
      <c r="I17" s="74">
        <v>0</v>
      </c>
      <c r="J17" s="74">
        <v>0</v>
      </c>
      <c r="K17" s="74">
        <v>0</v>
      </c>
      <c r="L17" s="74">
        <v>0</v>
      </c>
      <c r="M17" s="74">
        <v>0</v>
      </c>
    </row>
    <row r="19">
      <c r="A19" s="22" t="s">
        <v>516</v>
      </c>
      <c r="C19" s="22" t="s">
        <v>517</v>
      </c>
      <c r="D19" s="22"/>
      <c r="E19" s="22"/>
      <c r="F19" s="22"/>
      <c r="G19" s="22"/>
      <c r="H19" s="22"/>
      <c r="I19" s="22"/>
      <c r="J19" s="22"/>
      <c r="K19" s="22"/>
      <c r="L19" s="22"/>
      <c r="M19" s="22"/>
    </row>
    <row r="20">
      <c r="A20" s="22"/>
      <c r="C20" s="22">
        <v>2026</v>
      </c>
      <c r="D20" s="22">
        <v>2027</v>
      </c>
      <c r="E20" s="22">
        <v>2028</v>
      </c>
      <c r="F20" s="22">
        <v>2029</v>
      </c>
      <c r="G20" s="22">
        <v>2030</v>
      </c>
      <c r="H20" s="22">
        <v>2031</v>
      </c>
      <c r="I20" s="22">
        <v>2032</v>
      </c>
      <c r="J20" s="22">
        <v>2033</v>
      </c>
      <c r="K20" s="22">
        <v>2034</v>
      </c>
      <c r="L20" s="22">
        <v>2035</v>
      </c>
      <c r="M20" s="22">
        <v>2036</v>
      </c>
    </row>
    <row r="21">
      <c r="A21" s="3" t="s">
        <v>518</v>
      </c>
      <c r="B21" s="3"/>
      <c r="C21" s="74" t="s">
        <v>519</v>
      </c>
      <c r="D21" s="74" t="s">
        <v>519</v>
      </c>
      <c r="E21" s="74" t="s">
        <v>519</v>
      </c>
      <c r="F21" s="74" t="s">
        <v>519</v>
      </c>
      <c r="G21" s="74" t="s">
        <v>519</v>
      </c>
      <c r="H21" s="74" t="s">
        <v>519</v>
      </c>
      <c r="I21" s="74" t="s">
        <v>519</v>
      </c>
      <c r="J21" s="74" t="s">
        <v>519</v>
      </c>
      <c r="K21" s="74" t="s">
        <v>519</v>
      </c>
      <c r="L21" s="74" t="s">
        <v>519</v>
      </c>
      <c r="M21" s="74" t="s">
        <v>519</v>
      </c>
    </row>
    <row r="23">
      <c r="A23" s="22" t="s">
        <v>520</v>
      </c>
      <c r="C23" s="22" t="s">
        <v>521</v>
      </c>
      <c r="D23" s="22"/>
      <c r="E23" s="22"/>
      <c r="F23" s="22"/>
      <c r="G23" s="22"/>
      <c r="H23" s="22"/>
      <c r="I23" s="22"/>
      <c r="J23" s="22"/>
      <c r="K23" s="22"/>
      <c r="L23" s="22"/>
      <c r="M23" s="22"/>
    </row>
    <row r="24">
      <c r="A24" s="22"/>
      <c r="C24" s="22">
        <v>2026</v>
      </c>
      <c r="D24" s="22">
        <v>2027</v>
      </c>
      <c r="E24" s="22">
        <v>2028</v>
      </c>
      <c r="F24" s="22">
        <v>2029</v>
      </c>
      <c r="G24" s="22">
        <v>2030</v>
      </c>
      <c r="H24" s="22">
        <v>2031</v>
      </c>
      <c r="I24" s="22">
        <v>2032</v>
      </c>
      <c r="J24" s="22">
        <v>2033</v>
      </c>
      <c r="K24" s="22">
        <v>2034</v>
      </c>
      <c r="L24" s="22">
        <v>2035</v>
      </c>
      <c r="M24" s="22">
        <v>2036</v>
      </c>
    </row>
    <row r="25">
      <c r="A25" s="3" t="s">
        <v>522</v>
      </c>
      <c r="B25" s="3"/>
      <c r="C25" s="74" t="s">
        <v>519</v>
      </c>
      <c r="D25" s="74" t="s">
        <v>519</v>
      </c>
      <c r="E25" s="74" t="s">
        <v>519</v>
      </c>
      <c r="F25" s="74" t="s">
        <v>519</v>
      </c>
      <c r="G25" s="74" t="s">
        <v>519</v>
      </c>
      <c r="H25" s="74" t="s">
        <v>519</v>
      </c>
      <c r="I25" s="74" t="s">
        <v>519</v>
      </c>
      <c r="J25" s="74" t="s">
        <v>519</v>
      </c>
      <c r="K25" s="74" t="s">
        <v>519</v>
      </c>
      <c r="L25" s="74" t="s">
        <v>519</v>
      </c>
      <c r="M25" s="74" t="s">
        <v>519</v>
      </c>
    </row>
    <row r="27">
      <c r="A27" s="22" t="s">
        <v>523</v>
      </c>
      <c r="C27" s="22" t="s">
        <v>524</v>
      </c>
      <c r="D27" s="22"/>
      <c r="E27" s="22"/>
      <c r="F27" s="22"/>
      <c r="G27" s="22"/>
      <c r="H27" s="22"/>
      <c r="I27" s="22"/>
      <c r="J27" s="22"/>
      <c r="K27" s="22"/>
      <c r="L27" s="22"/>
      <c r="M27" s="22"/>
    </row>
    <row r="28">
      <c r="A28" s="22"/>
      <c r="C28" s="22">
        <v>2026</v>
      </c>
      <c r="D28" s="22">
        <v>2027</v>
      </c>
      <c r="E28" s="22">
        <v>2028</v>
      </c>
      <c r="F28" s="22">
        <v>2029</v>
      </c>
      <c r="G28" s="22">
        <v>2030</v>
      </c>
      <c r="H28" s="22">
        <v>2031</v>
      </c>
      <c r="I28" s="22">
        <v>2032</v>
      </c>
      <c r="J28" s="22">
        <v>2033</v>
      </c>
      <c r="K28" s="22">
        <v>2034</v>
      </c>
      <c r="L28" s="22">
        <v>2035</v>
      </c>
      <c r="M28" s="22">
        <v>2036</v>
      </c>
    </row>
    <row r="29">
      <c r="A29" s="3" t="s">
        <v>109</v>
      </c>
      <c r="B29" s="3"/>
      <c r="C29" s="73">
        <v>0</v>
      </c>
      <c r="D29" s="73">
        <v>0</v>
      </c>
      <c r="E29" s="73">
        <v>0</v>
      </c>
      <c r="F29" s="73">
        <v>0</v>
      </c>
      <c r="G29" s="73">
        <v>0</v>
      </c>
      <c r="H29" s="73">
        <v>0</v>
      </c>
      <c r="I29" s="73">
        <v>0</v>
      </c>
      <c r="J29" s="73">
        <v>0</v>
      </c>
      <c r="K29" s="73">
        <v>0</v>
      </c>
      <c r="L29" s="73">
        <v>0</v>
      </c>
      <c r="M29" s="73">
        <v>0</v>
      </c>
    </row>
    <row r="30">
      <c r="A30" s="3" t="s">
        <v>110</v>
      </c>
      <c r="B30" s="3"/>
      <c r="C30" s="73">
        <v>3198570</v>
      </c>
      <c r="D30" s="73">
        <v>0</v>
      </c>
      <c r="E30" s="73">
        <v>0</v>
      </c>
      <c r="F30" s="73">
        <v>1078914.93</v>
      </c>
      <c r="G30" s="73">
        <v>0</v>
      </c>
      <c r="H30" s="73">
        <v>0</v>
      </c>
      <c r="I30" s="73">
        <v>0</v>
      </c>
      <c r="J30" s="73">
        <v>0</v>
      </c>
      <c r="K30" s="73">
        <v>0</v>
      </c>
      <c r="L30" s="73">
        <v>0</v>
      </c>
      <c r="M30" s="73">
        <v>0</v>
      </c>
    </row>
    <row r="31">
      <c r="A31" s="3" t="s">
        <v>111</v>
      </c>
      <c r="B31" s="3"/>
      <c r="C31" s="73">
        <v>0</v>
      </c>
      <c r="D31" s="73">
        <v>0</v>
      </c>
      <c r="E31" s="73">
        <v>0</v>
      </c>
      <c r="F31" s="73">
        <v>0</v>
      </c>
      <c r="G31" s="73">
        <v>0</v>
      </c>
      <c r="H31" s="73">
        <v>0</v>
      </c>
      <c r="I31" s="73">
        <v>0</v>
      </c>
      <c r="J31" s="73">
        <v>0</v>
      </c>
      <c r="K31" s="73">
        <v>0</v>
      </c>
      <c r="L31" s="73">
        <v>0</v>
      </c>
      <c r="M31" s="73">
        <v>0</v>
      </c>
    </row>
    <row r="32">
      <c r="A32" s="3" t="s">
        <v>112</v>
      </c>
      <c r="B32" s="3"/>
      <c r="C32" s="73">
        <v>0</v>
      </c>
      <c r="D32" s="73">
        <v>0</v>
      </c>
      <c r="E32" s="73">
        <v>0</v>
      </c>
      <c r="F32" s="73">
        <v>0</v>
      </c>
      <c r="G32" s="73">
        <v>0</v>
      </c>
      <c r="H32" s="73">
        <v>0</v>
      </c>
      <c r="I32" s="73">
        <v>0</v>
      </c>
      <c r="J32" s="73">
        <v>0</v>
      </c>
      <c r="K32" s="73">
        <v>0</v>
      </c>
      <c r="L32" s="73">
        <v>0</v>
      </c>
      <c r="M32" s="73">
        <v>0</v>
      </c>
    </row>
    <row r="33">
      <c r="A33" s="3" t="s">
        <v>525</v>
      </c>
      <c r="B33" s="3"/>
      <c r="C33" s="74">
        <v>3198570</v>
      </c>
      <c r="D33" s="74">
        <v>0</v>
      </c>
      <c r="E33" s="74">
        <v>0</v>
      </c>
      <c r="F33" s="74">
        <v>1078914.93</v>
      </c>
      <c r="G33" s="74">
        <v>0</v>
      </c>
      <c r="H33" s="74">
        <v>0</v>
      </c>
      <c r="I33" s="74">
        <v>0</v>
      </c>
      <c r="J33" s="74">
        <v>0</v>
      </c>
      <c r="K33" s="74">
        <v>0</v>
      </c>
      <c r="L33" s="74">
        <v>0</v>
      </c>
      <c r="M33" s="74">
        <v>0</v>
      </c>
    </row>
    <row r="35">
      <c r="A35" s="22" t="s">
        <v>526</v>
      </c>
      <c r="C35" s="22" t="s">
        <v>527</v>
      </c>
      <c r="D35" s="22"/>
      <c r="E35" s="22"/>
      <c r="F35" s="22"/>
      <c r="G35" s="22"/>
      <c r="H35" s="22"/>
      <c r="I35" s="22"/>
      <c r="J35" s="22"/>
      <c r="K35" s="22"/>
      <c r="L35" s="22"/>
      <c r="M35" s="22"/>
    </row>
    <row r="36">
      <c r="A36" s="22"/>
      <c r="C36" s="22">
        <v>2026</v>
      </c>
      <c r="D36" s="22">
        <v>2027</v>
      </c>
      <c r="E36" s="22">
        <v>2028</v>
      </c>
      <c r="F36" s="22">
        <v>2029</v>
      </c>
      <c r="G36" s="22">
        <v>2030</v>
      </c>
      <c r="H36" s="22">
        <v>2031</v>
      </c>
      <c r="I36" s="22">
        <v>2032</v>
      </c>
      <c r="J36" s="22">
        <v>2033</v>
      </c>
      <c r="K36" s="22">
        <v>2034</v>
      </c>
      <c r="L36" s="22">
        <v>2035</v>
      </c>
      <c r="M36" s="22">
        <v>2036</v>
      </c>
    </row>
    <row r="37">
      <c r="A37" s="3" t="s">
        <v>106</v>
      </c>
      <c r="B37" s="3"/>
      <c r="C37" s="73">
        <v>0</v>
      </c>
      <c r="D37" s="73">
        <v>0</v>
      </c>
      <c r="E37" s="73">
        <v>0</v>
      </c>
      <c r="F37" s="73">
        <v>0</v>
      </c>
      <c r="G37" s="73">
        <v>0</v>
      </c>
      <c r="H37" s="73">
        <v>0</v>
      </c>
      <c r="I37" s="73">
        <v>0</v>
      </c>
      <c r="J37" s="73">
        <v>0</v>
      </c>
      <c r="K37" s="73">
        <v>0</v>
      </c>
      <c r="L37" s="73">
        <v>0</v>
      </c>
      <c r="M37" s="73">
        <v>0</v>
      </c>
    </row>
    <row r="38">
      <c r="A38" s="3" t="s">
        <v>108</v>
      </c>
      <c r="B38" s="3"/>
      <c r="C38" s="73">
        <v>3803340</v>
      </c>
      <c r="D38" s="73">
        <v>3524083.2</v>
      </c>
      <c r="E38" s="73">
        <v>0</v>
      </c>
      <c r="F38" s="73">
        <v>0</v>
      </c>
      <c r="G38" s="73">
        <v>0</v>
      </c>
      <c r="H38" s="73">
        <v>1043346.67</v>
      </c>
      <c r="I38" s="73">
        <v>0</v>
      </c>
      <c r="J38" s="73">
        <v>0</v>
      </c>
      <c r="K38" s="73">
        <v>0</v>
      </c>
      <c r="L38" s="73">
        <v>0</v>
      </c>
      <c r="M38" s="73">
        <v>1209524.74</v>
      </c>
    </row>
    <row r="39">
      <c r="A39" s="3" t="s">
        <v>113</v>
      </c>
      <c r="B39" s="3"/>
      <c r="C39" s="73">
        <v>0</v>
      </c>
      <c r="D39" s="73">
        <v>0</v>
      </c>
      <c r="E39" s="73">
        <v>0</v>
      </c>
      <c r="F39" s="73">
        <v>0</v>
      </c>
      <c r="G39" s="73">
        <v>0</v>
      </c>
      <c r="H39" s="73">
        <v>0</v>
      </c>
      <c r="I39" s="73">
        <v>0</v>
      </c>
      <c r="J39" s="73">
        <v>0</v>
      </c>
      <c r="K39" s="73">
        <v>0</v>
      </c>
      <c r="L39" s="73">
        <v>0</v>
      </c>
      <c r="M39" s="73">
        <v>0</v>
      </c>
    </row>
    <row r="40">
      <c r="A40" s="3" t="s">
        <v>114</v>
      </c>
      <c r="B40" s="3"/>
      <c r="C40" s="73">
        <v>0</v>
      </c>
      <c r="D40" s="73">
        <v>0</v>
      </c>
      <c r="E40" s="73">
        <v>0</v>
      </c>
      <c r="F40" s="73">
        <v>0</v>
      </c>
      <c r="G40" s="73">
        <v>0</v>
      </c>
      <c r="H40" s="73">
        <v>0</v>
      </c>
      <c r="I40" s="73">
        <v>0</v>
      </c>
      <c r="J40" s="73">
        <v>0</v>
      </c>
      <c r="K40" s="73">
        <v>0</v>
      </c>
      <c r="L40" s="73">
        <v>0</v>
      </c>
      <c r="M40" s="73">
        <v>0</v>
      </c>
    </row>
    <row r="41">
      <c r="A41" s="3" t="s">
        <v>115</v>
      </c>
      <c r="B41" s="3"/>
      <c r="C41" s="73">
        <v>0</v>
      </c>
      <c r="D41" s="73">
        <v>0</v>
      </c>
      <c r="E41" s="73">
        <v>0</v>
      </c>
      <c r="F41" s="73">
        <v>0</v>
      </c>
      <c r="G41" s="73">
        <v>0</v>
      </c>
      <c r="H41" s="73">
        <v>0</v>
      </c>
      <c r="I41" s="73">
        <v>0</v>
      </c>
      <c r="J41" s="73">
        <v>0</v>
      </c>
      <c r="K41" s="73">
        <v>0</v>
      </c>
      <c r="L41" s="73">
        <v>0</v>
      </c>
      <c r="M41" s="73">
        <v>27969.59</v>
      </c>
    </row>
    <row r="42">
      <c r="A42" s="3" t="s">
        <v>116</v>
      </c>
      <c r="B42" s="3"/>
      <c r="C42" s="73">
        <v>17019</v>
      </c>
      <c r="D42" s="73">
        <v>0</v>
      </c>
      <c r="E42" s="73">
        <v>0</v>
      </c>
      <c r="F42" s="73">
        <v>0</v>
      </c>
      <c r="G42" s="73">
        <v>0</v>
      </c>
      <c r="H42" s="73">
        <v>0</v>
      </c>
      <c r="I42" s="73">
        <v>0</v>
      </c>
      <c r="J42" s="73">
        <v>0</v>
      </c>
      <c r="K42" s="73">
        <v>0</v>
      </c>
      <c r="L42" s="73">
        <v>0</v>
      </c>
      <c r="M42" s="73">
        <v>0</v>
      </c>
    </row>
    <row r="43">
      <c r="A43" s="3" t="s">
        <v>117</v>
      </c>
      <c r="B43" s="3"/>
      <c r="C43" s="73">
        <v>0</v>
      </c>
      <c r="D43" s="73">
        <v>0</v>
      </c>
      <c r="E43" s="73">
        <v>0</v>
      </c>
      <c r="F43" s="73">
        <v>0</v>
      </c>
      <c r="G43" s="73">
        <v>0</v>
      </c>
      <c r="H43" s="73">
        <v>0</v>
      </c>
      <c r="I43" s="73">
        <v>0</v>
      </c>
      <c r="J43" s="73">
        <v>0</v>
      </c>
      <c r="K43" s="73">
        <v>0</v>
      </c>
      <c r="L43" s="73">
        <v>0</v>
      </c>
      <c r="M43" s="73">
        <v>0</v>
      </c>
    </row>
    <row r="44">
      <c r="A44" s="3" t="s">
        <v>119</v>
      </c>
      <c r="B44" s="3"/>
      <c r="C44" s="73">
        <v>0</v>
      </c>
      <c r="D44" s="73">
        <v>0</v>
      </c>
      <c r="E44" s="73">
        <v>0</v>
      </c>
      <c r="F44" s="73">
        <v>0</v>
      </c>
      <c r="G44" s="73">
        <v>0</v>
      </c>
      <c r="H44" s="73">
        <v>0</v>
      </c>
      <c r="I44" s="73">
        <v>0</v>
      </c>
      <c r="J44" s="73">
        <v>0</v>
      </c>
      <c r="K44" s="73">
        <v>0</v>
      </c>
      <c r="L44" s="73">
        <v>0</v>
      </c>
      <c r="M44" s="73">
        <v>0</v>
      </c>
    </row>
    <row r="45">
      <c r="A45" s="3" t="s">
        <v>120</v>
      </c>
      <c r="B45" s="3"/>
      <c r="C45" s="73">
        <v>0</v>
      </c>
      <c r="D45" s="73">
        <v>0</v>
      </c>
      <c r="E45" s="73">
        <v>0</v>
      </c>
      <c r="F45" s="73">
        <v>0</v>
      </c>
      <c r="G45" s="73">
        <v>0</v>
      </c>
      <c r="H45" s="73">
        <v>0</v>
      </c>
      <c r="I45" s="73">
        <v>0</v>
      </c>
      <c r="J45" s="73">
        <v>0</v>
      </c>
      <c r="K45" s="73">
        <v>0</v>
      </c>
      <c r="L45" s="73">
        <v>0</v>
      </c>
      <c r="M45" s="73">
        <v>0</v>
      </c>
    </row>
    <row r="46">
      <c r="A46" s="3" t="s">
        <v>121</v>
      </c>
      <c r="B46" s="3"/>
      <c r="C46" s="73">
        <v>0</v>
      </c>
      <c r="D46" s="73">
        <v>0</v>
      </c>
      <c r="E46" s="73">
        <v>0</v>
      </c>
      <c r="F46" s="73">
        <v>0</v>
      </c>
      <c r="G46" s="73">
        <v>0</v>
      </c>
      <c r="H46" s="73">
        <v>0</v>
      </c>
      <c r="I46" s="73">
        <v>0</v>
      </c>
      <c r="J46" s="73">
        <v>0</v>
      </c>
      <c r="K46" s="73">
        <v>0</v>
      </c>
      <c r="L46" s="73">
        <v>0</v>
      </c>
      <c r="M46" s="73">
        <v>0</v>
      </c>
    </row>
    <row r="47">
      <c r="A47" s="3" t="s">
        <v>122</v>
      </c>
      <c r="B47" s="3"/>
      <c r="C47" s="73">
        <v>0</v>
      </c>
      <c r="D47" s="73">
        <v>0</v>
      </c>
      <c r="E47" s="73">
        <v>0</v>
      </c>
      <c r="F47" s="73">
        <v>0</v>
      </c>
      <c r="G47" s="73">
        <v>0</v>
      </c>
      <c r="H47" s="73">
        <v>0</v>
      </c>
      <c r="I47" s="73">
        <v>0</v>
      </c>
      <c r="J47" s="73">
        <v>0</v>
      </c>
      <c r="K47" s="73">
        <v>0</v>
      </c>
      <c r="L47" s="73">
        <v>0</v>
      </c>
      <c r="M47" s="73">
        <v>0</v>
      </c>
    </row>
    <row r="48">
      <c r="A48" s="3" t="s">
        <v>123</v>
      </c>
      <c r="B48" s="3"/>
      <c r="C48" s="73">
        <v>0</v>
      </c>
      <c r="D48" s="73">
        <v>0</v>
      </c>
      <c r="E48" s="73">
        <v>0</v>
      </c>
      <c r="F48" s="73">
        <v>0</v>
      </c>
      <c r="G48" s="73">
        <v>0</v>
      </c>
      <c r="H48" s="73">
        <v>0</v>
      </c>
      <c r="I48" s="73">
        <v>0</v>
      </c>
      <c r="J48" s="73">
        <v>0</v>
      </c>
      <c r="K48" s="73">
        <v>0</v>
      </c>
      <c r="L48" s="73">
        <v>0</v>
      </c>
      <c r="M48" s="73">
        <v>0</v>
      </c>
    </row>
    <row r="49">
      <c r="A49" s="3" t="s">
        <v>124</v>
      </c>
      <c r="B49" s="3"/>
      <c r="C49" s="73">
        <v>0</v>
      </c>
      <c r="D49" s="73">
        <v>0</v>
      </c>
      <c r="E49" s="73">
        <v>0</v>
      </c>
      <c r="F49" s="73">
        <v>0</v>
      </c>
      <c r="G49" s="73">
        <v>0</v>
      </c>
      <c r="H49" s="73">
        <v>0</v>
      </c>
      <c r="I49" s="73">
        <v>0</v>
      </c>
      <c r="J49" s="73">
        <v>0</v>
      </c>
      <c r="K49" s="73">
        <v>0</v>
      </c>
      <c r="L49" s="73">
        <v>0</v>
      </c>
      <c r="M49" s="73">
        <v>0</v>
      </c>
    </row>
    <row r="50">
      <c r="A50" s="3" t="s">
        <v>125</v>
      </c>
      <c r="B50" s="3"/>
      <c r="C50" s="73">
        <v>0</v>
      </c>
      <c r="D50" s="73">
        <v>0</v>
      </c>
      <c r="E50" s="73">
        <v>0</v>
      </c>
      <c r="F50" s="73">
        <v>0</v>
      </c>
      <c r="G50" s="73">
        <v>0</v>
      </c>
      <c r="H50" s="73">
        <v>0</v>
      </c>
      <c r="I50" s="73">
        <v>0</v>
      </c>
      <c r="J50" s="73">
        <v>0</v>
      </c>
      <c r="K50" s="73">
        <v>0</v>
      </c>
      <c r="L50" s="73">
        <v>0</v>
      </c>
      <c r="M50" s="73">
        <v>0</v>
      </c>
    </row>
    <row r="51">
      <c r="A51" s="3" t="s">
        <v>126</v>
      </c>
      <c r="B51" s="3"/>
      <c r="C51" s="73">
        <v>0</v>
      </c>
      <c r="D51" s="73">
        <v>0</v>
      </c>
      <c r="E51" s="73">
        <v>0</v>
      </c>
      <c r="F51" s="73">
        <v>0</v>
      </c>
      <c r="G51" s="73">
        <v>0</v>
      </c>
      <c r="H51" s="73">
        <v>0</v>
      </c>
      <c r="I51" s="73">
        <v>0</v>
      </c>
      <c r="J51" s="73">
        <v>0</v>
      </c>
      <c r="K51" s="73">
        <v>0</v>
      </c>
      <c r="L51" s="73">
        <v>0</v>
      </c>
      <c r="M51" s="73">
        <v>0</v>
      </c>
    </row>
    <row r="52">
      <c r="A52" s="3" t="s">
        <v>127</v>
      </c>
      <c r="B52" s="3"/>
      <c r="C52" s="73">
        <v>0</v>
      </c>
      <c r="D52" s="73">
        <v>0</v>
      </c>
      <c r="E52" s="73">
        <v>0</v>
      </c>
      <c r="F52" s="73">
        <v>0</v>
      </c>
      <c r="G52" s="73">
        <v>0</v>
      </c>
      <c r="H52" s="73">
        <v>0</v>
      </c>
      <c r="I52" s="73">
        <v>0</v>
      </c>
      <c r="J52" s="73">
        <v>0</v>
      </c>
      <c r="K52" s="73">
        <v>0</v>
      </c>
      <c r="L52" s="73">
        <v>0</v>
      </c>
      <c r="M52" s="73">
        <v>0</v>
      </c>
    </row>
    <row r="53">
      <c r="A53" s="3" t="s">
        <v>128</v>
      </c>
      <c r="B53" s="3"/>
      <c r="C53" s="73">
        <v>4848345</v>
      </c>
      <c r="D53" s="73">
        <v>1577661.3</v>
      </c>
      <c r="E53" s="73">
        <v>0</v>
      </c>
      <c r="F53" s="73">
        <v>0</v>
      </c>
      <c r="G53" s="73">
        <v>0</v>
      </c>
      <c r="H53" s="73">
        <v>0</v>
      </c>
      <c r="I53" s="73">
        <v>0</v>
      </c>
      <c r="J53" s="73">
        <v>0</v>
      </c>
      <c r="K53" s="73">
        <v>0</v>
      </c>
      <c r="L53" s="73">
        <v>0</v>
      </c>
      <c r="M53" s="73">
        <v>0</v>
      </c>
    </row>
    <row r="54">
      <c r="A54" s="3" t="s">
        <v>528</v>
      </c>
      <c r="B54" s="3"/>
      <c r="C54" s="74">
        <v>8668704</v>
      </c>
      <c r="D54" s="74">
        <v>5101744.5</v>
      </c>
      <c r="E54" s="74">
        <v>0</v>
      </c>
      <c r="F54" s="74">
        <v>0</v>
      </c>
      <c r="G54" s="74">
        <v>0</v>
      </c>
      <c r="H54" s="74">
        <v>1043346.67</v>
      </c>
      <c r="I54" s="74">
        <v>0</v>
      </c>
      <c r="J54" s="74">
        <v>0</v>
      </c>
      <c r="K54" s="74">
        <v>0</v>
      </c>
      <c r="L54" s="74">
        <v>0</v>
      </c>
      <c r="M54" s="74">
        <v>1237494.33</v>
      </c>
    </row>
    <row r="56">
      <c r="A56" s="22" t="s">
        <v>529</v>
      </c>
      <c r="C56" s="22" t="s">
        <v>363</v>
      </c>
      <c r="D56" s="22"/>
      <c r="E56" s="22"/>
      <c r="F56" s="22"/>
      <c r="G56" s="22"/>
      <c r="H56" s="22"/>
      <c r="I56" s="22"/>
      <c r="J56" s="22"/>
      <c r="K56" s="22"/>
      <c r="L56" s="22"/>
      <c r="M56" s="22"/>
    </row>
    <row r="57">
      <c r="A57" s="22"/>
      <c r="C57" s="22">
        <v>2026</v>
      </c>
      <c r="D57" s="22">
        <v>2027</v>
      </c>
      <c r="E57" s="22">
        <v>2028</v>
      </c>
      <c r="F57" s="22">
        <v>2029</v>
      </c>
      <c r="G57" s="22">
        <v>2030</v>
      </c>
      <c r="H57" s="22">
        <v>2031</v>
      </c>
      <c r="I57" s="22">
        <v>2032</v>
      </c>
      <c r="J57" s="22">
        <v>2033</v>
      </c>
      <c r="K57" s="22">
        <v>2034</v>
      </c>
      <c r="L57" s="22">
        <v>2035</v>
      </c>
      <c r="M57" s="22">
        <v>2036</v>
      </c>
      <c r="N57" s="22" t="s">
        <v>530</v>
      </c>
    </row>
    <row r="58">
      <c r="A58" s="3" t="s">
        <v>117</v>
      </c>
      <c r="B58" s="3"/>
      <c r="C58" s="74"/>
      <c r="D58" s="74"/>
      <c r="E58" s="74"/>
      <c r="F58" s="74"/>
      <c r="G58" s="74"/>
      <c r="H58" s="74"/>
      <c r="I58" s="74"/>
      <c r="J58" s="74"/>
      <c r="K58" s="74"/>
      <c r="L58" s="74"/>
      <c r="M58" s="74"/>
      <c r="N58" s="78">
        <f>Sum(C58:M58)</f>
        <v>0</v>
      </c>
      <c r="O58" s="77">
        <f>(N58/N66)</f>
        <v>0</v>
      </c>
      <c r="P58" s="0" t="s">
        <v>531</v>
      </c>
    </row>
    <row r="59">
      <c r="A59" s="3" t="s">
        <v>121</v>
      </c>
      <c r="B59" s="3"/>
      <c r="C59" s="74">
        <v>17019</v>
      </c>
      <c r="D59" s="74">
        <v>0</v>
      </c>
      <c r="E59" s="74">
        <v>0</v>
      </c>
      <c r="F59" s="74">
        <v>0</v>
      </c>
      <c r="G59" s="74">
        <v>0</v>
      </c>
      <c r="H59" s="74">
        <v>0</v>
      </c>
      <c r="I59" s="74">
        <v>0</v>
      </c>
      <c r="J59" s="74">
        <v>0</v>
      </c>
      <c r="K59" s="74">
        <v>0</v>
      </c>
      <c r="L59" s="74">
        <v>0</v>
      </c>
      <c r="M59" s="74">
        <v>27969.59</v>
      </c>
      <c r="N59" s="78">
        <f>Sum(C59:M59)</f>
        <v>44988.59</v>
      </c>
      <c r="O59" s="77">
        <f>(N59/N66)</f>
        <v>0.0022130497908230268</v>
      </c>
      <c r="P59" s="0" t="s">
        <v>532</v>
      </c>
    </row>
    <row r="60">
      <c r="A60" s="3" t="s">
        <v>122</v>
      </c>
      <c r="B60" s="3"/>
      <c r="C60" s="74">
        <v>4848345</v>
      </c>
      <c r="D60" s="74">
        <v>1577661.3</v>
      </c>
      <c r="E60" s="74">
        <v>0</v>
      </c>
      <c r="F60" s="74">
        <v>0</v>
      </c>
      <c r="G60" s="74">
        <v>0</v>
      </c>
      <c r="H60" s="74">
        <v>0</v>
      </c>
      <c r="I60" s="74">
        <v>0</v>
      </c>
      <c r="J60" s="74">
        <v>0</v>
      </c>
      <c r="K60" s="74">
        <v>0</v>
      </c>
      <c r="L60" s="74">
        <v>0</v>
      </c>
      <c r="M60" s="74">
        <v>0</v>
      </c>
      <c r="N60" s="78">
        <f>Sum(C60:M60)</f>
        <v>6426006.3</v>
      </c>
      <c r="O60" s="77">
        <f>(N60/N66)</f>
        <v>0.31610396987419376</v>
      </c>
      <c r="P60" s="0" t="s">
        <v>533</v>
      </c>
    </row>
    <row r="61">
      <c r="A61" s="3" t="s">
        <v>124</v>
      </c>
      <c r="B61" s="3"/>
      <c r="C61" s="74">
        <v>7001910</v>
      </c>
      <c r="D61" s="74">
        <v>3524083.2</v>
      </c>
      <c r="E61" s="74">
        <v>0</v>
      </c>
      <c r="F61" s="74">
        <v>1078914.93</v>
      </c>
      <c r="G61" s="74">
        <v>0</v>
      </c>
      <c r="H61" s="74">
        <v>1043346.67</v>
      </c>
      <c r="I61" s="74">
        <v>0</v>
      </c>
      <c r="J61" s="74">
        <v>0</v>
      </c>
      <c r="K61" s="74">
        <v>0</v>
      </c>
      <c r="L61" s="74">
        <v>0</v>
      </c>
      <c r="M61" s="74">
        <v>1209524.74</v>
      </c>
      <c r="N61" s="78">
        <f>Sum(C61:M61)</f>
        <v>13857779.54</v>
      </c>
      <c r="O61" s="77">
        <f>(N61/N66)</f>
        <v>0.6816829803349832</v>
      </c>
      <c r="P61" s="0" t="s">
        <v>534</v>
      </c>
    </row>
    <row r="62">
      <c r="A62" s="3" t="s">
        <v>535</v>
      </c>
      <c r="B62" s="3"/>
      <c r="C62" s="74"/>
      <c r="D62" s="74"/>
      <c r="E62" s="74"/>
      <c r="F62" s="74"/>
      <c r="G62" s="74"/>
      <c r="H62" s="74"/>
      <c r="I62" s="74"/>
      <c r="J62" s="74"/>
      <c r="K62" s="74"/>
      <c r="L62" s="74"/>
      <c r="M62" s="74"/>
      <c r="N62" s="78">
        <f>Sum(C62:M62)</f>
        <v>0</v>
      </c>
      <c r="O62" s="77">
        <f>(N62/N66)</f>
        <v>0</v>
      </c>
      <c r="P62" s="0" t="s">
        <v>536</v>
      </c>
    </row>
    <row r="63">
      <c r="A63" s="3" t="s">
        <v>537</v>
      </c>
      <c r="B63" s="3"/>
      <c r="C63" s="74"/>
      <c r="D63" s="74"/>
      <c r="E63" s="74"/>
      <c r="F63" s="74"/>
      <c r="G63" s="74"/>
      <c r="H63" s="74"/>
      <c r="I63" s="74"/>
      <c r="J63" s="74"/>
      <c r="K63" s="74"/>
      <c r="L63" s="74"/>
      <c r="M63" s="74"/>
      <c r="N63" s="78">
        <f>Sum(C63:M63)</f>
        <v>0</v>
      </c>
      <c r="O63" s="77">
        <f>(N63/N66)</f>
        <v>0</v>
      </c>
      <c r="P63" s="0" t="s">
        <v>538</v>
      </c>
    </row>
    <row r="64">
      <c r="A64" s="3" t="s">
        <v>539</v>
      </c>
      <c r="B64" s="3"/>
      <c r="C64" s="74"/>
      <c r="D64" s="74"/>
      <c r="E64" s="74"/>
      <c r="F64" s="74"/>
      <c r="G64" s="74"/>
      <c r="H64" s="74"/>
      <c r="I64" s="74"/>
      <c r="J64" s="74"/>
      <c r="K64" s="74"/>
      <c r="L64" s="74"/>
      <c r="M64" s="74"/>
      <c r="N64" s="78">
        <f>Sum(C64:M64)</f>
        <v>0</v>
      </c>
      <c r="O64" s="77">
        <f>(N64/N66)</f>
        <v>0</v>
      </c>
      <c r="P64" s="0" t="s">
        <v>540</v>
      </c>
    </row>
    <row r="65">
      <c r="A65" s="3"/>
      <c r="B65" s="3"/>
      <c r="C65" s="74"/>
      <c r="D65" s="74"/>
      <c r="E65" s="74"/>
      <c r="F65" s="74"/>
      <c r="G65" s="74"/>
      <c r="H65" s="74"/>
      <c r="I65" s="74"/>
      <c r="J65" s="74"/>
      <c r="K65" s="74"/>
      <c r="L65" s="74"/>
      <c r="M65" s="74"/>
      <c r="N65" s="78"/>
      <c r="O65" s="77"/>
    </row>
    <row r="66">
      <c r="A66" s="3" t="s">
        <v>541</v>
      </c>
      <c r="B66" s="3"/>
      <c r="C66" s="74">
        <f>Sum(C58:C65)</f>
        <v>11867274</v>
      </c>
      <c r="D66" s="74">
        <f>Sum(D58:D65)</f>
        <v>5101744.5</v>
      </c>
      <c r="E66" s="74">
        <f>Sum(E58:E65)</f>
        <v>0</v>
      </c>
      <c r="F66" s="74">
        <f>Sum(F58:F65)</f>
        <v>1078914.93</v>
      </c>
      <c r="G66" s="74">
        <f>Sum(G58:G65)</f>
        <v>0</v>
      </c>
      <c r="H66" s="74">
        <f>Sum(H58:H65)</f>
        <v>1043346.67</v>
      </c>
      <c r="I66" s="74">
        <f>Sum(I58:I65)</f>
        <v>0</v>
      </c>
      <c r="J66" s="74">
        <f>Sum(J58:J65)</f>
        <v>0</v>
      </c>
      <c r="K66" s="74">
        <f>Sum(K58:K65)</f>
        <v>0</v>
      </c>
      <c r="L66" s="74">
        <f>Sum(L58:L65)</f>
        <v>0</v>
      </c>
      <c r="M66" s="74">
        <f>Sum(M58:M65)</f>
        <v>1237494.33</v>
      </c>
      <c r="N66" s="78">
        <f>Sum(C66:M66)</f>
        <v>20328774.43</v>
      </c>
      <c r="O66" s="77"/>
    </row>
    <row r="67">
      <c r="C67" s="75"/>
      <c r="D67" s="75"/>
      <c r="E67" s="75"/>
      <c r="F67" s="75"/>
      <c r="G67" s="75"/>
      <c r="H67" s="75"/>
      <c r="I67" s="75"/>
      <c r="J67" s="75"/>
      <c r="K67" s="75"/>
      <c r="L67" s="75"/>
      <c r="M67" s="75"/>
      <c r="N67" s="39"/>
    </row>
    <row r="68">
      <c r="A68" s="3" t="s">
        <v>542</v>
      </c>
      <c r="B68" s="3"/>
      <c r="C68" s="79">
        <v>11867274</v>
      </c>
      <c r="D68" s="79">
        <v>5101744.5</v>
      </c>
      <c r="E68" s="79">
        <v>0</v>
      </c>
      <c r="F68" s="79">
        <v>1078914.93</v>
      </c>
      <c r="G68" s="79">
        <v>0</v>
      </c>
      <c r="H68" s="79">
        <v>1043346.67</v>
      </c>
      <c r="I68" s="79">
        <v>0</v>
      </c>
      <c r="J68" s="79">
        <v>0</v>
      </c>
      <c r="K68" s="79">
        <v>0</v>
      </c>
      <c r="L68" s="79">
        <v>0</v>
      </c>
      <c r="M68" s="79">
        <v>1237494.33</v>
      </c>
      <c r="N68" s="78">
        <f>Sum(C68:M68)</f>
        <v>20328774.43</v>
      </c>
    </row>
    <row r="70">
      <c r="A70" s="22" t="s">
        <v>543</v>
      </c>
      <c r="C70" s="22" t="s">
        <v>363</v>
      </c>
      <c r="D70" s="22"/>
      <c r="E70" s="22"/>
      <c r="F70" s="22"/>
      <c r="G70" s="22"/>
      <c r="H70" s="22"/>
      <c r="I70" s="22"/>
      <c r="J70" s="22"/>
      <c r="K70" s="22"/>
      <c r="L70" s="22"/>
      <c r="M70" s="22"/>
    </row>
    <row r="71">
      <c r="A71" s="22"/>
      <c r="C71" s="22">
        <v>2026</v>
      </c>
      <c r="D71" s="22">
        <v>2027</v>
      </c>
      <c r="E71" s="22">
        <v>2028</v>
      </c>
      <c r="F71" s="22">
        <v>2029</v>
      </c>
      <c r="G71" s="22">
        <v>2030</v>
      </c>
      <c r="H71" s="22">
        <v>2031</v>
      </c>
      <c r="I71" s="22">
        <v>2032</v>
      </c>
      <c r="J71" s="22">
        <v>2033</v>
      </c>
      <c r="K71" s="22">
        <v>2034</v>
      </c>
      <c r="L71" s="22">
        <v>2035</v>
      </c>
      <c r="M71" s="22">
        <v>2036</v>
      </c>
    </row>
    <row r="72">
      <c r="A72" s="3"/>
      <c r="B72" s="3"/>
      <c r="C72" s="74">
        <v>0</v>
      </c>
      <c r="D72" s="74">
        <v>0</v>
      </c>
      <c r="E72" s="74">
        <v>0</v>
      </c>
      <c r="F72" s="74">
        <v>0</v>
      </c>
      <c r="G72" s="74">
        <v>0</v>
      </c>
      <c r="H72" s="74">
        <v>0</v>
      </c>
      <c r="I72" s="74">
        <v>0</v>
      </c>
      <c r="J72" s="74">
        <v>0</v>
      </c>
      <c r="K72" s="74">
        <v>0</v>
      </c>
      <c r="L72" s="74">
        <v>0</v>
      </c>
      <c r="M72" s="74">
        <v>0</v>
      </c>
      <c r="N72" s="78">
        <f>Sum(C72:M72)</f>
        <v>0</v>
      </c>
    </row>
    <row r="74">
      <c r="A74" s="22" t="s">
        <v>473</v>
      </c>
      <c r="C74" s="22" t="s">
        <v>544</v>
      </c>
      <c r="D74" s="22"/>
      <c r="E74" s="22"/>
      <c r="F74" s="22"/>
      <c r="G74" s="22"/>
      <c r="H74" s="22"/>
      <c r="I74" s="22"/>
      <c r="J74" s="22"/>
      <c r="K74" s="22"/>
      <c r="L74" s="22"/>
      <c r="M74" s="22"/>
    </row>
    <row r="75">
      <c r="A75" s="22"/>
      <c r="C75" s="22">
        <v>2026</v>
      </c>
      <c r="D75" s="22">
        <v>2027</v>
      </c>
      <c r="E75" s="22">
        <v>2028</v>
      </c>
      <c r="F75" s="22">
        <v>2029</v>
      </c>
      <c r="G75" s="22">
        <v>2030</v>
      </c>
      <c r="H75" s="22">
        <v>2031</v>
      </c>
      <c r="I75" s="22">
        <v>2032</v>
      </c>
      <c r="J75" s="22">
        <v>2033</v>
      </c>
      <c r="K75" s="22">
        <v>2034</v>
      </c>
      <c r="L75" s="22">
        <v>2035</v>
      </c>
      <c r="M75" s="22">
        <v>2036</v>
      </c>
    </row>
    <row r="76">
      <c r="A76" s="3" t="s">
        <v>545</v>
      </c>
      <c r="B76" s="3"/>
      <c r="C76" s="80">
        <v>0</v>
      </c>
      <c r="D76" s="80">
        <v>0</v>
      </c>
      <c r="E76" s="80">
        <v>0</v>
      </c>
      <c r="F76" s="80">
        <v>0</v>
      </c>
      <c r="G76" s="80">
        <v>0</v>
      </c>
      <c r="H76" s="80">
        <v>0</v>
      </c>
      <c r="I76" s="80">
        <v>0</v>
      </c>
      <c r="J76" s="80">
        <v>0</v>
      </c>
      <c r="K76" s="80">
        <v>0</v>
      </c>
      <c r="L76" s="80">
        <v>0</v>
      </c>
      <c r="M76" s="80">
        <v>0</v>
      </c>
    </row>
    <row r="77">
      <c r="A77" s="3" t="s">
        <v>546</v>
      </c>
      <c r="B77" s="3"/>
      <c r="C77" s="80">
        <v>0</v>
      </c>
      <c r="D77" s="80">
        <v>0</v>
      </c>
      <c r="E77" s="80">
        <v>0</v>
      </c>
      <c r="F77" s="80">
        <v>0</v>
      </c>
      <c r="G77" s="80">
        <v>0</v>
      </c>
      <c r="H77" s="80">
        <v>0</v>
      </c>
      <c r="I77" s="80">
        <v>0</v>
      </c>
      <c r="J77" s="80">
        <v>0</v>
      </c>
      <c r="K77" s="80">
        <v>0</v>
      </c>
      <c r="L77" s="80">
        <v>0</v>
      </c>
      <c r="M77" s="80">
        <v>0</v>
      </c>
    </row>
    <row r="78">
      <c r="A78" s="3" t="s">
        <v>547</v>
      </c>
      <c r="B78" s="3"/>
      <c r="C78" s="80">
        <v>0</v>
      </c>
      <c r="D78" s="80">
        <v>0</v>
      </c>
      <c r="E78" s="80">
        <v>0</v>
      </c>
      <c r="F78" s="80">
        <v>0</v>
      </c>
      <c r="G78" s="80">
        <v>0</v>
      </c>
      <c r="H78" s="80">
        <v>0</v>
      </c>
      <c r="I78" s="80">
        <v>0</v>
      </c>
      <c r="J78" s="80">
        <v>0</v>
      </c>
      <c r="K78" s="80">
        <v>0</v>
      </c>
      <c r="L78" s="80">
        <v>0</v>
      </c>
      <c r="M78" s="80">
        <v>0</v>
      </c>
    </row>
    <row r="79">
      <c r="A79" s="3" t="s">
        <v>548</v>
      </c>
      <c r="B79" s="3"/>
      <c r="C79" s="80">
        <v>0</v>
      </c>
      <c r="D79" s="80">
        <v>0</v>
      </c>
      <c r="E79" s="80">
        <v>0</v>
      </c>
      <c r="F79" s="80">
        <v>0</v>
      </c>
      <c r="G79" s="80">
        <v>0</v>
      </c>
      <c r="H79" s="80">
        <v>0</v>
      </c>
      <c r="I79" s="80">
        <v>0</v>
      </c>
      <c r="J79" s="80">
        <v>0</v>
      </c>
      <c r="K79" s="80">
        <v>0</v>
      </c>
      <c r="L79" s="80">
        <v>0</v>
      </c>
      <c r="M79" s="80">
        <v>0</v>
      </c>
    </row>
    <row r="80">
      <c r="A80" s="3" t="s">
        <v>549</v>
      </c>
      <c r="B80" s="3"/>
      <c r="C80" s="80">
        <v>11867274</v>
      </c>
      <c r="D80" s="80">
        <v>5101744.5</v>
      </c>
      <c r="E80" s="80">
        <v>0</v>
      </c>
      <c r="F80" s="80">
        <v>1078914.93</v>
      </c>
      <c r="G80" s="80">
        <v>0</v>
      </c>
      <c r="H80" s="80">
        <v>1043346.67</v>
      </c>
      <c r="I80" s="80">
        <v>0</v>
      </c>
      <c r="J80" s="80">
        <v>0</v>
      </c>
      <c r="K80" s="80">
        <v>0</v>
      </c>
      <c r="L80" s="80">
        <v>0</v>
      </c>
      <c r="M80" s="80">
        <v>1237494.33</v>
      </c>
    </row>
    <row r="81">
      <c r="A81" s="3" t="s">
        <v>550</v>
      </c>
      <c r="B81" s="3"/>
      <c r="C81" s="80">
        <v>0</v>
      </c>
      <c r="D81" s="80">
        <v>0</v>
      </c>
      <c r="E81" s="80">
        <v>0</v>
      </c>
      <c r="F81" s="80">
        <v>0</v>
      </c>
      <c r="G81" s="80">
        <v>0</v>
      </c>
      <c r="H81" s="80">
        <v>0</v>
      </c>
      <c r="I81" s="80">
        <v>0</v>
      </c>
      <c r="J81" s="80">
        <v>0</v>
      </c>
      <c r="K81" s="80">
        <v>0</v>
      </c>
      <c r="L81" s="80">
        <v>0</v>
      </c>
      <c r="M81" s="80">
        <v>0</v>
      </c>
    </row>
    <row r="82">
      <c r="A82" s="3" t="s">
        <v>551</v>
      </c>
      <c r="B82" s="3"/>
      <c r="C82" s="80">
        <v>11867274</v>
      </c>
      <c r="D82" s="80">
        <v>5101744.5</v>
      </c>
      <c r="E82" s="80">
        <v>0</v>
      </c>
      <c r="F82" s="80">
        <v>1078914.93</v>
      </c>
      <c r="G82" s="80">
        <v>0</v>
      </c>
      <c r="H82" s="80">
        <v>1043346.67</v>
      </c>
      <c r="I82" s="80">
        <v>0</v>
      </c>
      <c r="J82" s="80">
        <v>0</v>
      </c>
      <c r="K82" s="80">
        <v>0</v>
      </c>
      <c r="L82" s="80">
        <v>0</v>
      </c>
      <c r="M82" s="80">
        <v>1237494.33</v>
      </c>
    </row>
    <row r="84">
      <c r="A84" s="57"/>
      <c r="B84" s="57"/>
      <c r="C84" s="57"/>
      <c r="D84" s="57"/>
      <c r="E84" s="57"/>
      <c r="F84" s="57"/>
      <c r="G84" s="57"/>
      <c r="H84" s="57"/>
      <c r="I84" s="57"/>
      <c r="J84" s="57"/>
      <c r="K84" s="57"/>
      <c r="L84" s="57"/>
      <c r="M84" s="57"/>
    </row>
    <row r="86">
      <c r="A86" s="22" t="s">
        <v>514</v>
      </c>
      <c r="C86" s="22" t="s">
        <v>552</v>
      </c>
      <c r="D86" s="22"/>
      <c r="E86" s="22"/>
      <c r="F86" s="22"/>
      <c r="G86" s="22"/>
      <c r="H86" s="22"/>
      <c r="I86" s="22"/>
      <c r="J86" s="22"/>
      <c r="K86" s="22"/>
      <c r="L86" s="22"/>
      <c r="M86" s="22"/>
    </row>
    <row r="87">
      <c r="A87" s="22"/>
      <c r="C87" s="22">
        <v>2026</v>
      </c>
      <c r="D87" s="22">
        <v>2027</v>
      </c>
      <c r="E87" s="22">
        <v>2028</v>
      </c>
      <c r="F87" s="22">
        <v>2029</v>
      </c>
      <c r="G87" s="22">
        <v>2030</v>
      </c>
      <c r="H87" s="22">
        <v>2031</v>
      </c>
      <c r="I87" s="22">
        <v>2032</v>
      </c>
      <c r="J87" s="22">
        <v>2033</v>
      </c>
      <c r="K87" s="22">
        <v>2034</v>
      </c>
      <c r="L87" s="22">
        <v>2035</v>
      </c>
      <c r="M87" s="22">
        <v>2036</v>
      </c>
    </row>
    <row r="88">
      <c r="A88" s="3" t="s">
        <v>553</v>
      </c>
      <c r="B88" s="3"/>
      <c r="C88" s="84">
        <v>0</v>
      </c>
      <c r="D88" s="84">
        <v>0</v>
      </c>
      <c r="E88" s="84">
        <v>0</v>
      </c>
      <c r="F88" s="84">
        <v>0</v>
      </c>
      <c r="G88" s="84">
        <v>0</v>
      </c>
      <c r="H88" s="84">
        <v>0</v>
      </c>
      <c r="I88" s="84">
        <v>0</v>
      </c>
      <c r="J88" s="84">
        <v>0</v>
      </c>
      <c r="K88" s="84">
        <v>0</v>
      </c>
      <c r="L88" s="84">
        <v>0</v>
      </c>
      <c r="M88" s="84">
        <v>0</v>
      </c>
    </row>
    <row r="90">
      <c r="A90" s="22" t="s">
        <v>554</v>
      </c>
      <c r="C90" s="22" t="s">
        <v>555</v>
      </c>
      <c r="D90" s="22"/>
      <c r="E90" s="22"/>
      <c r="F90" s="22"/>
      <c r="G90" s="22"/>
      <c r="H90" s="22"/>
      <c r="I90" s="22"/>
      <c r="J90" s="22"/>
      <c r="K90" s="22"/>
      <c r="L90" s="22"/>
      <c r="M90" s="22"/>
    </row>
    <row r="91">
      <c r="A91" s="22"/>
      <c r="C91" s="22">
        <v>2026</v>
      </c>
      <c r="D91" s="22">
        <v>2027</v>
      </c>
      <c r="E91" s="22">
        <v>2028</v>
      </c>
      <c r="F91" s="22">
        <v>2029</v>
      </c>
      <c r="G91" s="22">
        <v>2030</v>
      </c>
      <c r="H91" s="22">
        <v>2031</v>
      </c>
      <c r="I91" s="22">
        <v>2032</v>
      </c>
      <c r="J91" s="22">
        <v>2033</v>
      </c>
      <c r="K91" s="22">
        <v>2034</v>
      </c>
      <c r="L91" s="22">
        <v>2035</v>
      </c>
      <c r="M91" s="22">
        <v>2036</v>
      </c>
    </row>
    <row r="92">
      <c r="A92" s="3" t="s">
        <v>118</v>
      </c>
      <c r="B92" s="3"/>
      <c r="C92" s="84">
        <v>0</v>
      </c>
      <c r="D92" s="84">
        <v>0</v>
      </c>
      <c r="E92" s="84">
        <v>0</v>
      </c>
      <c r="F92" s="84">
        <v>0</v>
      </c>
      <c r="G92" s="84">
        <v>0</v>
      </c>
      <c r="H92" s="84">
        <v>0</v>
      </c>
      <c r="I92" s="84">
        <v>0</v>
      </c>
      <c r="J92" s="84">
        <v>0</v>
      </c>
      <c r="K92" s="84">
        <v>0</v>
      </c>
      <c r="L92" s="84">
        <v>0</v>
      </c>
      <c r="M92" s="84">
        <v>0</v>
      </c>
    </row>
    <row r="93">
      <c r="A93" s="3" t="s">
        <v>109</v>
      </c>
      <c r="B93" s="3"/>
      <c r="C93" s="84">
        <v>0</v>
      </c>
      <c r="D93" s="84">
        <v>0</v>
      </c>
      <c r="E93" s="84">
        <v>0</v>
      </c>
      <c r="F93" s="84">
        <v>0</v>
      </c>
      <c r="G93" s="84">
        <v>0</v>
      </c>
      <c r="H93" s="84">
        <v>0</v>
      </c>
      <c r="I93" s="84">
        <v>0</v>
      </c>
      <c r="J93" s="84">
        <v>0</v>
      </c>
      <c r="K93" s="84">
        <v>0</v>
      </c>
      <c r="L93" s="84">
        <v>0</v>
      </c>
      <c r="M93" s="84">
        <v>0</v>
      </c>
    </row>
    <row r="94">
      <c r="A94" s="3" t="s">
        <v>110</v>
      </c>
      <c r="B94" s="3"/>
      <c r="C94" s="84">
        <v>3</v>
      </c>
      <c r="D94" s="84">
        <v>0</v>
      </c>
      <c r="E94" s="84">
        <v>0</v>
      </c>
      <c r="F94" s="84">
        <v>1</v>
      </c>
      <c r="G94" s="84">
        <v>0</v>
      </c>
      <c r="H94" s="84">
        <v>0</v>
      </c>
      <c r="I94" s="84">
        <v>0</v>
      </c>
      <c r="J94" s="84">
        <v>0</v>
      </c>
      <c r="K94" s="84">
        <v>0</v>
      </c>
      <c r="L94" s="84">
        <v>0</v>
      </c>
      <c r="M94" s="84">
        <v>0</v>
      </c>
    </row>
    <row r="95">
      <c r="A95" s="3" t="s">
        <v>111</v>
      </c>
      <c r="B95" s="3"/>
      <c r="C95" s="84">
        <v>0</v>
      </c>
      <c r="D95" s="84">
        <v>0</v>
      </c>
      <c r="E95" s="84">
        <v>0</v>
      </c>
      <c r="F95" s="84">
        <v>0</v>
      </c>
      <c r="G95" s="84">
        <v>0</v>
      </c>
      <c r="H95" s="84">
        <v>0</v>
      </c>
      <c r="I95" s="84">
        <v>0</v>
      </c>
      <c r="J95" s="84">
        <v>0</v>
      </c>
      <c r="K95" s="84">
        <v>0</v>
      </c>
      <c r="L95" s="84">
        <v>0</v>
      </c>
      <c r="M95" s="84">
        <v>0</v>
      </c>
    </row>
    <row r="96">
      <c r="A96" s="3" t="s">
        <v>112</v>
      </c>
      <c r="B96" s="3"/>
      <c r="C96" s="84">
        <v>0</v>
      </c>
      <c r="D96" s="84">
        <v>0</v>
      </c>
      <c r="E96" s="84">
        <v>0</v>
      </c>
      <c r="F96" s="84">
        <v>0</v>
      </c>
      <c r="G96" s="84">
        <v>0</v>
      </c>
      <c r="H96" s="84">
        <v>0</v>
      </c>
      <c r="I96" s="84">
        <v>0</v>
      </c>
      <c r="J96" s="84">
        <v>0</v>
      </c>
      <c r="K96" s="84">
        <v>0</v>
      </c>
      <c r="L96" s="84">
        <v>0</v>
      </c>
      <c r="M96" s="84">
        <v>0</v>
      </c>
    </row>
    <row r="97">
      <c r="A97" s="3" t="s">
        <v>553</v>
      </c>
      <c r="B97" s="3"/>
      <c r="C97" s="84">
        <v>3</v>
      </c>
      <c r="D97" s="84">
        <v>0</v>
      </c>
      <c r="E97" s="84">
        <v>0</v>
      </c>
      <c r="F97" s="84">
        <v>1</v>
      </c>
      <c r="G97" s="84">
        <v>0</v>
      </c>
      <c r="H97" s="84">
        <v>0</v>
      </c>
      <c r="I97" s="84">
        <v>0</v>
      </c>
      <c r="J97" s="84">
        <v>0</v>
      </c>
      <c r="K97" s="84">
        <v>0</v>
      </c>
      <c r="L97" s="84">
        <v>0</v>
      </c>
      <c r="M97" s="84">
        <v>0</v>
      </c>
    </row>
    <row r="99">
      <c r="A99" s="22" t="s">
        <v>556</v>
      </c>
      <c r="C99" s="22" t="s">
        <v>557</v>
      </c>
      <c r="D99" s="22"/>
      <c r="E99" s="22"/>
      <c r="F99" s="22"/>
      <c r="G99" s="22"/>
      <c r="H99" s="22"/>
      <c r="I99" s="22"/>
      <c r="J99" s="22"/>
      <c r="K99" s="22"/>
      <c r="L99" s="22"/>
      <c r="M99" s="22"/>
    </row>
    <row r="100">
      <c r="A100" s="22"/>
      <c r="C100" s="22">
        <v>2026</v>
      </c>
      <c r="D100" s="22">
        <v>2027</v>
      </c>
      <c r="E100" s="22">
        <v>2028</v>
      </c>
      <c r="F100" s="22">
        <v>2029</v>
      </c>
      <c r="G100" s="22">
        <v>2030</v>
      </c>
      <c r="H100" s="22">
        <v>2031</v>
      </c>
      <c r="I100" s="22">
        <v>2032</v>
      </c>
      <c r="J100" s="22">
        <v>2033</v>
      </c>
      <c r="K100" s="22">
        <v>2034</v>
      </c>
      <c r="L100" s="22">
        <v>2035</v>
      </c>
      <c r="M100" s="22">
        <v>2036</v>
      </c>
    </row>
    <row r="101">
      <c r="A101" s="3" t="s">
        <v>118</v>
      </c>
      <c r="B101" s="3"/>
      <c r="C101" s="85">
        <v>5</v>
      </c>
      <c r="D101" s="85">
        <v>18</v>
      </c>
      <c r="E101" s="85">
        <v>21</v>
      </c>
      <c r="F101" s="85">
        <v>20</v>
      </c>
      <c r="G101" s="85">
        <v>21</v>
      </c>
      <c r="H101" s="85">
        <v>20</v>
      </c>
      <c r="I101" s="85">
        <v>21</v>
      </c>
      <c r="J101" s="85">
        <v>21</v>
      </c>
      <c r="K101" s="85">
        <v>21</v>
      </c>
      <c r="L101" s="85">
        <v>21</v>
      </c>
      <c r="M101" s="85">
        <v>19</v>
      </c>
    </row>
    <row r="102">
      <c r="A102" s="3" t="s">
        <v>106</v>
      </c>
      <c r="B102" s="3"/>
      <c r="C102" s="85">
        <v>0</v>
      </c>
      <c r="D102" s="85">
        <v>0</v>
      </c>
      <c r="E102" s="85">
        <v>0</v>
      </c>
      <c r="F102" s="85">
        <v>0</v>
      </c>
      <c r="G102" s="85">
        <v>0</v>
      </c>
      <c r="H102" s="85">
        <v>0</v>
      </c>
      <c r="I102" s="85">
        <v>0</v>
      </c>
      <c r="J102" s="85">
        <v>0</v>
      </c>
      <c r="K102" s="85">
        <v>0</v>
      </c>
      <c r="L102" s="85">
        <v>0</v>
      </c>
      <c r="M102" s="85">
        <v>0</v>
      </c>
    </row>
    <row r="103">
      <c r="A103" s="3" t="s">
        <v>108</v>
      </c>
      <c r="B103" s="3"/>
      <c r="C103" s="85">
        <v>3</v>
      </c>
      <c r="D103" s="85">
        <v>2</v>
      </c>
      <c r="E103" s="85">
        <v>0</v>
      </c>
      <c r="F103" s="85">
        <v>0</v>
      </c>
      <c r="G103" s="85">
        <v>0</v>
      </c>
      <c r="H103" s="85">
        <v>1</v>
      </c>
      <c r="I103" s="85">
        <v>0</v>
      </c>
      <c r="J103" s="85">
        <v>0</v>
      </c>
      <c r="K103" s="85">
        <v>0</v>
      </c>
      <c r="L103" s="85">
        <v>0</v>
      </c>
      <c r="M103" s="85">
        <v>1</v>
      </c>
    </row>
    <row r="104">
      <c r="A104" s="3" t="s">
        <v>113</v>
      </c>
      <c r="B104" s="3"/>
      <c r="C104" s="85">
        <v>0</v>
      </c>
      <c r="D104" s="85">
        <v>0</v>
      </c>
      <c r="E104" s="85">
        <v>0</v>
      </c>
      <c r="F104" s="85">
        <v>0</v>
      </c>
      <c r="G104" s="85">
        <v>0</v>
      </c>
      <c r="H104" s="85">
        <v>0</v>
      </c>
      <c r="I104" s="85">
        <v>0</v>
      </c>
      <c r="J104" s="85">
        <v>0</v>
      </c>
      <c r="K104" s="85">
        <v>0</v>
      </c>
      <c r="L104" s="85">
        <v>0</v>
      </c>
      <c r="M104" s="85">
        <v>0</v>
      </c>
    </row>
    <row r="105">
      <c r="A105" s="3" t="s">
        <v>114</v>
      </c>
      <c r="B105" s="3"/>
      <c r="C105" s="85">
        <v>0</v>
      </c>
      <c r="D105" s="85">
        <v>0</v>
      </c>
      <c r="E105" s="85">
        <v>0</v>
      </c>
      <c r="F105" s="85">
        <v>0</v>
      </c>
      <c r="G105" s="85">
        <v>0</v>
      </c>
      <c r="H105" s="85">
        <v>0</v>
      </c>
      <c r="I105" s="85">
        <v>0</v>
      </c>
      <c r="J105" s="85">
        <v>0</v>
      </c>
      <c r="K105" s="85">
        <v>0</v>
      </c>
      <c r="L105" s="85">
        <v>0</v>
      </c>
      <c r="M105" s="85">
        <v>0</v>
      </c>
    </row>
    <row r="106">
      <c r="A106" s="3" t="s">
        <v>115</v>
      </c>
      <c r="B106" s="3"/>
      <c r="C106" s="85">
        <v>0</v>
      </c>
      <c r="D106" s="85">
        <v>0</v>
      </c>
      <c r="E106" s="85">
        <v>0</v>
      </c>
      <c r="F106" s="85">
        <v>0</v>
      </c>
      <c r="G106" s="85">
        <v>0</v>
      </c>
      <c r="H106" s="85">
        <v>0</v>
      </c>
      <c r="I106" s="85">
        <v>0</v>
      </c>
      <c r="J106" s="85">
        <v>0</v>
      </c>
      <c r="K106" s="85">
        <v>0</v>
      </c>
      <c r="L106" s="85">
        <v>0</v>
      </c>
      <c r="M106" s="85">
        <v>1</v>
      </c>
    </row>
    <row r="107">
      <c r="A107" s="3" t="s">
        <v>116</v>
      </c>
      <c r="B107" s="3"/>
      <c r="C107" s="85">
        <v>1</v>
      </c>
      <c r="D107" s="85">
        <v>0</v>
      </c>
      <c r="E107" s="85">
        <v>0</v>
      </c>
      <c r="F107" s="85">
        <v>0</v>
      </c>
      <c r="G107" s="85">
        <v>0</v>
      </c>
      <c r="H107" s="85">
        <v>0</v>
      </c>
      <c r="I107" s="85">
        <v>0</v>
      </c>
      <c r="J107" s="85">
        <v>0</v>
      </c>
      <c r="K107" s="85">
        <v>0</v>
      </c>
      <c r="L107" s="85">
        <v>0</v>
      </c>
      <c r="M107" s="85">
        <v>0</v>
      </c>
    </row>
    <row r="108">
      <c r="A108" s="3" t="s">
        <v>117</v>
      </c>
      <c r="B108" s="3"/>
      <c r="C108" s="85">
        <v>0</v>
      </c>
      <c r="D108" s="85">
        <v>0</v>
      </c>
      <c r="E108" s="85">
        <v>0</v>
      </c>
      <c r="F108" s="85">
        <v>0</v>
      </c>
      <c r="G108" s="85">
        <v>0</v>
      </c>
      <c r="H108" s="85">
        <v>0</v>
      </c>
      <c r="I108" s="85">
        <v>0</v>
      </c>
      <c r="J108" s="85">
        <v>0</v>
      </c>
      <c r="K108" s="85">
        <v>0</v>
      </c>
      <c r="L108" s="85">
        <v>0</v>
      </c>
      <c r="M108" s="85">
        <v>0</v>
      </c>
    </row>
    <row r="109">
      <c r="A109" s="3" t="s">
        <v>119</v>
      </c>
      <c r="B109" s="3"/>
      <c r="C109" s="85">
        <v>0</v>
      </c>
      <c r="D109" s="85">
        <v>0</v>
      </c>
      <c r="E109" s="85">
        <v>0</v>
      </c>
      <c r="F109" s="85">
        <v>0</v>
      </c>
      <c r="G109" s="85">
        <v>0</v>
      </c>
      <c r="H109" s="85">
        <v>0</v>
      </c>
      <c r="I109" s="85">
        <v>0</v>
      </c>
      <c r="J109" s="85">
        <v>0</v>
      </c>
      <c r="K109" s="85">
        <v>0</v>
      </c>
      <c r="L109" s="85">
        <v>0</v>
      </c>
      <c r="M109" s="85">
        <v>0</v>
      </c>
    </row>
    <row r="110">
      <c r="A110" s="3" t="s">
        <v>120</v>
      </c>
      <c r="B110" s="3"/>
      <c r="C110" s="85">
        <v>0</v>
      </c>
      <c r="D110" s="85">
        <v>0</v>
      </c>
      <c r="E110" s="85">
        <v>0</v>
      </c>
      <c r="F110" s="85">
        <v>0</v>
      </c>
      <c r="G110" s="85">
        <v>0</v>
      </c>
      <c r="H110" s="85">
        <v>0</v>
      </c>
      <c r="I110" s="85">
        <v>0</v>
      </c>
      <c r="J110" s="85">
        <v>0</v>
      </c>
      <c r="K110" s="85">
        <v>0</v>
      </c>
      <c r="L110" s="85">
        <v>0</v>
      </c>
      <c r="M110" s="85">
        <v>0</v>
      </c>
    </row>
    <row r="111">
      <c r="A111" s="3" t="s">
        <v>121</v>
      </c>
      <c r="B111" s="3"/>
      <c r="C111" s="85">
        <v>0</v>
      </c>
      <c r="D111" s="85">
        <v>0</v>
      </c>
      <c r="E111" s="85">
        <v>0</v>
      </c>
      <c r="F111" s="85">
        <v>0</v>
      </c>
      <c r="G111" s="85">
        <v>0</v>
      </c>
      <c r="H111" s="85">
        <v>0</v>
      </c>
      <c r="I111" s="85">
        <v>0</v>
      </c>
      <c r="J111" s="85">
        <v>0</v>
      </c>
      <c r="K111" s="85">
        <v>0</v>
      </c>
      <c r="L111" s="85">
        <v>0</v>
      </c>
      <c r="M111" s="85">
        <v>0</v>
      </c>
    </row>
    <row r="112">
      <c r="A112" s="3" t="s">
        <v>122</v>
      </c>
      <c r="B112" s="3"/>
      <c r="C112" s="85">
        <v>0</v>
      </c>
      <c r="D112" s="85">
        <v>0</v>
      </c>
      <c r="E112" s="85">
        <v>0</v>
      </c>
      <c r="F112" s="85">
        <v>0</v>
      </c>
      <c r="G112" s="85">
        <v>0</v>
      </c>
      <c r="H112" s="85">
        <v>0</v>
      </c>
      <c r="I112" s="85">
        <v>0</v>
      </c>
      <c r="J112" s="85">
        <v>0</v>
      </c>
      <c r="K112" s="85">
        <v>0</v>
      </c>
      <c r="L112" s="85">
        <v>0</v>
      </c>
      <c r="M112" s="85">
        <v>0</v>
      </c>
    </row>
    <row r="113">
      <c r="A113" s="3" t="s">
        <v>123</v>
      </c>
      <c r="B113" s="3"/>
      <c r="C113" s="85">
        <v>0</v>
      </c>
      <c r="D113" s="85">
        <v>0</v>
      </c>
      <c r="E113" s="85">
        <v>0</v>
      </c>
      <c r="F113" s="85">
        <v>0</v>
      </c>
      <c r="G113" s="85">
        <v>0</v>
      </c>
      <c r="H113" s="85">
        <v>0</v>
      </c>
      <c r="I113" s="85">
        <v>0</v>
      </c>
      <c r="J113" s="85">
        <v>0</v>
      </c>
      <c r="K113" s="85">
        <v>0</v>
      </c>
      <c r="L113" s="85">
        <v>0</v>
      </c>
      <c r="M113" s="85">
        <v>0</v>
      </c>
    </row>
    <row r="114">
      <c r="A114" s="3" t="s">
        <v>124</v>
      </c>
      <c r="B114" s="3"/>
      <c r="C114" s="85">
        <v>0</v>
      </c>
      <c r="D114" s="85">
        <v>0</v>
      </c>
      <c r="E114" s="85">
        <v>0</v>
      </c>
      <c r="F114" s="85">
        <v>0</v>
      </c>
      <c r="G114" s="85">
        <v>0</v>
      </c>
      <c r="H114" s="85">
        <v>0</v>
      </c>
      <c r="I114" s="85">
        <v>0</v>
      </c>
      <c r="J114" s="85">
        <v>0</v>
      </c>
      <c r="K114" s="85">
        <v>0</v>
      </c>
      <c r="L114" s="85">
        <v>0</v>
      </c>
      <c r="M114" s="85">
        <v>0</v>
      </c>
    </row>
    <row r="115">
      <c r="A115" s="3" t="s">
        <v>125</v>
      </c>
      <c r="B115" s="3"/>
      <c r="C115" s="85">
        <v>0</v>
      </c>
      <c r="D115" s="85">
        <v>0</v>
      </c>
      <c r="E115" s="85">
        <v>0</v>
      </c>
      <c r="F115" s="85">
        <v>0</v>
      </c>
      <c r="G115" s="85">
        <v>0</v>
      </c>
      <c r="H115" s="85">
        <v>0</v>
      </c>
      <c r="I115" s="85">
        <v>0</v>
      </c>
      <c r="J115" s="85">
        <v>0</v>
      </c>
      <c r="K115" s="85">
        <v>0</v>
      </c>
      <c r="L115" s="85">
        <v>0</v>
      </c>
      <c r="M115" s="85">
        <v>0</v>
      </c>
    </row>
    <row r="116">
      <c r="A116" s="3" t="s">
        <v>126</v>
      </c>
      <c r="B116" s="3"/>
      <c r="C116" s="85">
        <v>0</v>
      </c>
      <c r="D116" s="85">
        <v>0</v>
      </c>
      <c r="E116" s="85">
        <v>0</v>
      </c>
      <c r="F116" s="85">
        <v>0</v>
      </c>
      <c r="G116" s="85">
        <v>0</v>
      </c>
      <c r="H116" s="85">
        <v>0</v>
      </c>
      <c r="I116" s="85">
        <v>0</v>
      </c>
      <c r="J116" s="85">
        <v>0</v>
      </c>
      <c r="K116" s="85">
        <v>0</v>
      </c>
      <c r="L116" s="85">
        <v>0</v>
      </c>
      <c r="M116" s="85">
        <v>0</v>
      </c>
    </row>
    <row r="117">
      <c r="A117" s="3" t="s">
        <v>127</v>
      </c>
      <c r="B117" s="3"/>
      <c r="C117" s="85">
        <v>0</v>
      </c>
      <c r="D117" s="85">
        <v>0</v>
      </c>
      <c r="E117" s="85">
        <v>0</v>
      </c>
      <c r="F117" s="85">
        <v>0</v>
      </c>
      <c r="G117" s="85">
        <v>0</v>
      </c>
      <c r="H117" s="85">
        <v>0</v>
      </c>
      <c r="I117" s="85">
        <v>0</v>
      </c>
      <c r="J117" s="85">
        <v>0</v>
      </c>
      <c r="K117" s="85">
        <v>0</v>
      </c>
      <c r="L117" s="85">
        <v>0</v>
      </c>
      <c r="M117" s="85">
        <v>0</v>
      </c>
    </row>
    <row r="118">
      <c r="A118" s="3" t="s">
        <v>128</v>
      </c>
      <c r="B118" s="3"/>
      <c r="C118" s="85">
        <v>9</v>
      </c>
      <c r="D118" s="85">
        <v>1</v>
      </c>
      <c r="E118" s="85">
        <v>0</v>
      </c>
      <c r="F118" s="85">
        <v>0</v>
      </c>
      <c r="G118" s="85">
        <v>0</v>
      </c>
      <c r="H118" s="85">
        <v>0</v>
      </c>
      <c r="I118" s="85">
        <v>0</v>
      </c>
      <c r="J118" s="85">
        <v>0</v>
      </c>
      <c r="K118" s="85">
        <v>0</v>
      </c>
      <c r="L118" s="85">
        <v>0</v>
      </c>
      <c r="M118" s="85">
        <v>0</v>
      </c>
    </row>
    <row r="119">
      <c r="A119" s="3" t="s">
        <v>553</v>
      </c>
      <c r="B119" s="3"/>
      <c r="C119" s="85">
        <v>13</v>
      </c>
      <c r="D119" s="85">
        <v>3</v>
      </c>
      <c r="E119" s="85">
        <v>0</v>
      </c>
      <c r="F119" s="85">
        <v>0</v>
      </c>
      <c r="G119" s="85">
        <v>0</v>
      </c>
      <c r="H119" s="85">
        <v>1</v>
      </c>
      <c r="I119" s="85">
        <v>0</v>
      </c>
      <c r="J119" s="85">
        <v>0</v>
      </c>
      <c r="K119" s="85">
        <v>0</v>
      </c>
      <c r="L119" s="85">
        <v>0</v>
      </c>
      <c r="M119" s="85">
        <v>2</v>
      </c>
    </row>
    <row r="121">
      <c r="A121" s="22" t="s">
        <v>558</v>
      </c>
      <c r="C121" s="22" t="s">
        <v>559</v>
      </c>
      <c r="D121" s="22"/>
      <c r="E121" s="22"/>
      <c r="F121" s="22"/>
      <c r="G121" s="22"/>
      <c r="H121" s="22"/>
      <c r="I121" s="22"/>
      <c r="J121" s="22"/>
      <c r="K121" s="22"/>
      <c r="L121" s="22"/>
      <c r="M121" s="22"/>
    </row>
    <row r="122">
      <c r="A122" s="22"/>
      <c r="C122" s="22">
        <v>2026</v>
      </c>
      <c r="D122" s="22">
        <v>2027</v>
      </c>
      <c r="E122" s="22">
        <v>2028</v>
      </c>
      <c r="F122" s="22">
        <v>2029</v>
      </c>
      <c r="G122" s="22">
        <v>2030</v>
      </c>
      <c r="H122" s="22">
        <v>2031</v>
      </c>
      <c r="I122" s="22">
        <v>2032</v>
      </c>
      <c r="J122" s="22">
        <v>2033</v>
      </c>
      <c r="K122" s="22">
        <v>2034</v>
      </c>
      <c r="L122" s="22">
        <v>2035</v>
      </c>
      <c r="M122" s="22">
        <v>2036</v>
      </c>
    </row>
    <row r="123">
      <c r="A123" s="3" t="s">
        <v>118</v>
      </c>
      <c r="B123" s="3"/>
      <c r="C123" s="86">
        <v>5</v>
      </c>
      <c r="D123" s="86">
        <v>18</v>
      </c>
      <c r="E123" s="86">
        <v>21</v>
      </c>
      <c r="F123" s="86">
        <v>20</v>
      </c>
      <c r="G123" s="86">
        <v>21</v>
      </c>
      <c r="H123" s="86">
        <v>20</v>
      </c>
      <c r="I123" s="86">
        <v>21</v>
      </c>
      <c r="J123" s="86">
        <v>21</v>
      </c>
      <c r="K123" s="86">
        <v>21</v>
      </c>
      <c r="L123" s="86">
        <v>21</v>
      </c>
      <c r="M123" s="86">
        <v>19</v>
      </c>
    </row>
    <row r="124">
      <c r="A124" s="3" t="s">
        <v>106</v>
      </c>
      <c r="B124" s="3"/>
      <c r="C124" s="86">
        <v>0</v>
      </c>
      <c r="D124" s="86">
        <v>0</v>
      </c>
      <c r="E124" s="86">
        <v>0</v>
      </c>
      <c r="F124" s="86">
        <v>0</v>
      </c>
      <c r="G124" s="86">
        <v>0</v>
      </c>
      <c r="H124" s="86">
        <v>0</v>
      </c>
      <c r="I124" s="86">
        <v>0</v>
      </c>
      <c r="J124" s="86">
        <v>0</v>
      </c>
      <c r="K124" s="86">
        <v>0</v>
      </c>
      <c r="L124" s="86">
        <v>0</v>
      </c>
      <c r="M124" s="86">
        <v>0</v>
      </c>
    </row>
    <row r="125">
      <c r="A125" s="3" t="s">
        <v>108</v>
      </c>
      <c r="B125" s="3"/>
      <c r="C125" s="86">
        <v>3</v>
      </c>
      <c r="D125" s="86">
        <v>2</v>
      </c>
      <c r="E125" s="86">
        <v>0</v>
      </c>
      <c r="F125" s="86">
        <v>0</v>
      </c>
      <c r="G125" s="86">
        <v>0</v>
      </c>
      <c r="H125" s="86">
        <v>1</v>
      </c>
      <c r="I125" s="86">
        <v>0</v>
      </c>
      <c r="J125" s="86">
        <v>0</v>
      </c>
      <c r="K125" s="86">
        <v>0</v>
      </c>
      <c r="L125" s="86">
        <v>0</v>
      </c>
      <c r="M125" s="86">
        <v>1</v>
      </c>
    </row>
    <row r="126">
      <c r="A126" s="3" t="s">
        <v>109</v>
      </c>
      <c r="B126" s="3"/>
      <c r="C126" s="86">
        <v>0</v>
      </c>
      <c r="D126" s="86">
        <v>0</v>
      </c>
      <c r="E126" s="86">
        <v>0</v>
      </c>
      <c r="F126" s="86">
        <v>0</v>
      </c>
      <c r="G126" s="86">
        <v>0</v>
      </c>
      <c r="H126" s="86">
        <v>0</v>
      </c>
      <c r="I126" s="86">
        <v>0</v>
      </c>
      <c r="J126" s="86">
        <v>0</v>
      </c>
      <c r="K126" s="86">
        <v>0</v>
      </c>
      <c r="L126" s="86">
        <v>0</v>
      </c>
      <c r="M126" s="86">
        <v>0</v>
      </c>
    </row>
    <row r="127">
      <c r="A127" s="3" t="s">
        <v>110</v>
      </c>
      <c r="B127" s="3"/>
      <c r="C127" s="86">
        <v>3</v>
      </c>
      <c r="D127" s="86">
        <v>0</v>
      </c>
      <c r="E127" s="86">
        <v>0</v>
      </c>
      <c r="F127" s="86">
        <v>1</v>
      </c>
      <c r="G127" s="86">
        <v>0</v>
      </c>
      <c r="H127" s="86">
        <v>0</v>
      </c>
      <c r="I127" s="86">
        <v>0</v>
      </c>
      <c r="J127" s="86">
        <v>0</v>
      </c>
      <c r="K127" s="86">
        <v>0</v>
      </c>
      <c r="L127" s="86">
        <v>0</v>
      </c>
      <c r="M127" s="86">
        <v>0</v>
      </c>
    </row>
    <row r="128">
      <c r="A128" s="3" t="s">
        <v>111</v>
      </c>
      <c r="B128" s="3"/>
      <c r="C128" s="86">
        <v>0</v>
      </c>
      <c r="D128" s="86">
        <v>0</v>
      </c>
      <c r="E128" s="86">
        <v>0</v>
      </c>
      <c r="F128" s="86">
        <v>0</v>
      </c>
      <c r="G128" s="86">
        <v>0</v>
      </c>
      <c r="H128" s="86">
        <v>0</v>
      </c>
      <c r="I128" s="86">
        <v>0</v>
      </c>
      <c r="J128" s="86">
        <v>0</v>
      </c>
      <c r="K128" s="86">
        <v>0</v>
      </c>
      <c r="L128" s="86">
        <v>0</v>
      </c>
      <c r="M128" s="86">
        <v>0</v>
      </c>
    </row>
    <row r="129">
      <c r="A129" s="3" t="s">
        <v>112</v>
      </c>
      <c r="B129" s="3"/>
      <c r="C129" s="86">
        <v>0</v>
      </c>
      <c r="D129" s="86">
        <v>0</v>
      </c>
      <c r="E129" s="86">
        <v>0</v>
      </c>
      <c r="F129" s="86">
        <v>0</v>
      </c>
      <c r="G129" s="86">
        <v>0</v>
      </c>
      <c r="H129" s="86">
        <v>0</v>
      </c>
      <c r="I129" s="86">
        <v>0</v>
      </c>
      <c r="J129" s="86">
        <v>0</v>
      </c>
      <c r="K129" s="86">
        <v>0</v>
      </c>
      <c r="L129" s="86">
        <v>0</v>
      </c>
      <c r="M129" s="86">
        <v>0</v>
      </c>
    </row>
    <row r="130">
      <c r="A130" s="3" t="s">
        <v>113</v>
      </c>
      <c r="B130" s="3"/>
      <c r="C130" s="86">
        <v>0</v>
      </c>
      <c r="D130" s="86">
        <v>0</v>
      </c>
      <c r="E130" s="86">
        <v>0</v>
      </c>
      <c r="F130" s="86">
        <v>0</v>
      </c>
      <c r="G130" s="86">
        <v>0</v>
      </c>
      <c r="H130" s="86">
        <v>0</v>
      </c>
      <c r="I130" s="86">
        <v>0</v>
      </c>
      <c r="J130" s="86">
        <v>0</v>
      </c>
      <c r="K130" s="86">
        <v>0</v>
      </c>
      <c r="L130" s="86">
        <v>0</v>
      </c>
      <c r="M130" s="86">
        <v>0</v>
      </c>
    </row>
    <row r="131">
      <c r="A131" s="3" t="s">
        <v>114</v>
      </c>
      <c r="B131" s="3"/>
      <c r="C131" s="86">
        <v>0</v>
      </c>
      <c r="D131" s="86">
        <v>0</v>
      </c>
      <c r="E131" s="86">
        <v>0</v>
      </c>
      <c r="F131" s="86">
        <v>0</v>
      </c>
      <c r="G131" s="86">
        <v>0</v>
      </c>
      <c r="H131" s="86">
        <v>0</v>
      </c>
      <c r="I131" s="86">
        <v>0</v>
      </c>
      <c r="J131" s="86">
        <v>0</v>
      </c>
      <c r="K131" s="86">
        <v>0</v>
      </c>
      <c r="L131" s="86">
        <v>0</v>
      </c>
      <c r="M131" s="86">
        <v>0</v>
      </c>
    </row>
    <row r="132">
      <c r="A132" s="3" t="s">
        <v>115</v>
      </c>
      <c r="B132" s="3"/>
      <c r="C132" s="86">
        <v>0</v>
      </c>
      <c r="D132" s="86">
        <v>0</v>
      </c>
      <c r="E132" s="86">
        <v>0</v>
      </c>
      <c r="F132" s="86">
        <v>0</v>
      </c>
      <c r="G132" s="86">
        <v>0</v>
      </c>
      <c r="H132" s="86">
        <v>0</v>
      </c>
      <c r="I132" s="86">
        <v>0</v>
      </c>
      <c r="J132" s="86">
        <v>0</v>
      </c>
      <c r="K132" s="86">
        <v>0</v>
      </c>
      <c r="L132" s="86">
        <v>0</v>
      </c>
      <c r="M132" s="86">
        <v>1</v>
      </c>
    </row>
    <row r="133">
      <c r="A133" s="3" t="s">
        <v>116</v>
      </c>
      <c r="B133" s="3"/>
      <c r="C133" s="86">
        <v>1</v>
      </c>
      <c r="D133" s="86">
        <v>0</v>
      </c>
      <c r="E133" s="86">
        <v>0</v>
      </c>
      <c r="F133" s="86">
        <v>0</v>
      </c>
      <c r="G133" s="86">
        <v>0</v>
      </c>
      <c r="H133" s="86">
        <v>0</v>
      </c>
      <c r="I133" s="86">
        <v>0</v>
      </c>
      <c r="J133" s="86">
        <v>0</v>
      </c>
      <c r="K133" s="86">
        <v>0</v>
      </c>
      <c r="L133" s="86">
        <v>0</v>
      </c>
      <c r="M133" s="86">
        <v>0</v>
      </c>
    </row>
    <row r="134">
      <c r="A134" s="3" t="s">
        <v>117</v>
      </c>
      <c r="B134" s="3"/>
      <c r="C134" s="86">
        <v>0</v>
      </c>
      <c r="D134" s="86">
        <v>0</v>
      </c>
      <c r="E134" s="86">
        <v>0</v>
      </c>
      <c r="F134" s="86">
        <v>0</v>
      </c>
      <c r="G134" s="86">
        <v>0</v>
      </c>
      <c r="H134" s="86">
        <v>0</v>
      </c>
      <c r="I134" s="86">
        <v>0</v>
      </c>
      <c r="J134" s="86">
        <v>0</v>
      </c>
      <c r="K134" s="86">
        <v>0</v>
      </c>
      <c r="L134" s="86">
        <v>0</v>
      </c>
      <c r="M134" s="86">
        <v>0</v>
      </c>
    </row>
    <row r="135">
      <c r="A135" s="3" t="s">
        <v>119</v>
      </c>
      <c r="B135" s="3"/>
      <c r="C135" s="86">
        <v>0</v>
      </c>
      <c r="D135" s="86">
        <v>0</v>
      </c>
      <c r="E135" s="86">
        <v>0</v>
      </c>
      <c r="F135" s="86">
        <v>0</v>
      </c>
      <c r="G135" s="86">
        <v>0</v>
      </c>
      <c r="H135" s="86">
        <v>0</v>
      </c>
      <c r="I135" s="86">
        <v>0</v>
      </c>
      <c r="J135" s="86">
        <v>0</v>
      </c>
      <c r="K135" s="86">
        <v>0</v>
      </c>
      <c r="L135" s="86">
        <v>0</v>
      </c>
      <c r="M135" s="86">
        <v>0</v>
      </c>
    </row>
    <row r="136">
      <c r="A136" s="3" t="s">
        <v>120</v>
      </c>
      <c r="B136" s="3"/>
      <c r="C136" s="86">
        <v>0</v>
      </c>
      <c r="D136" s="86">
        <v>0</v>
      </c>
      <c r="E136" s="86">
        <v>0</v>
      </c>
      <c r="F136" s="86">
        <v>0</v>
      </c>
      <c r="G136" s="86">
        <v>0</v>
      </c>
      <c r="H136" s="86">
        <v>0</v>
      </c>
      <c r="I136" s="86">
        <v>0</v>
      </c>
      <c r="J136" s="86">
        <v>0</v>
      </c>
      <c r="K136" s="86">
        <v>0</v>
      </c>
      <c r="L136" s="86">
        <v>0</v>
      </c>
      <c r="M136" s="86">
        <v>0</v>
      </c>
    </row>
    <row r="137">
      <c r="A137" s="3" t="s">
        <v>121</v>
      </c>
      <c r="B137" s="3"/>
      <c r="C137" s="86">
        <v>0</v>
      </c>
      <c r="D137" s="86">
        <v>0</v>
      </c>
      <c r="E137" s="86">
        <v>0</v>
      </c>
      <c r="F137" s="86">
        <v>0</v>
      </c>
      <c r="G137" s="86">
        <v>0</v>
      </c>
      <c r="H137" s="86">
        <v>0</v>
      </c>
      <c r="I137" s="86">
        <v>0</v>
      </c>
      <c r="J137" s="86">
        <v>0</v>
      </c>
      <c r="K137" s="86">
        <v>0</v>
      </c>
      <c r="L137" s="86">
        <v>0</v>
      </c>
      <c r="M137" s="86">
        <v>0</v>
      </c>
    </row>
    <row r="138">
      <c r="A138" s="3" t="s">
        <v>122</v>
      </c>
      <c r="B138" s="3"/>
      <c r="C138" s="86">
        <v>0</v>
      </c>
      <c r="D138" s="86">
        <v>0</v>
      </c>
      <c r="E138" s="86">
        <v>0</v>
      </c>
      <c r="F138" s="86">
        <v>0</v>
      </c>
      <c r="G138" s="86">
        <v>0</v>
      </c>
      <c r="H138" s="86">
        <v>0</v>
      </c>
      <c r="I138" s="86">
        <v>0</v>
      </c>
      <c r="J138" s="86">
        <v>0</v>
      </c>
      <c r="K138" s="86">
        <v>0</v>
      </c>
      <c r="L138" s="86">
        <v>0</v>
      </c>
      <c r="M138" s="86">
        <v>0</v>
      </c>
    </row>
    <row r="139">
      <c r="A139" s="3" t="s">
        <v>123</v>
      </c>
      <c r="B139" s="3"/>
      <c r="C139" s="86">
        <v>0</v>
      </c>
      <c r="D139" s="86">
        <v>0</v>
      </c>
      <c r="E139" s="86">
        <v>0</v>
      </c>
      <c r="F139" s="86">
        <v>0</v>
      </c>
      <c r="G139" s="86">
        <v>0</v>
      </c>
      <c r="H139" s="86">
        <v>0</v>
      </c>
      <c r="I139" s="86">
        <v>0</v>
      </c>
      <c r="J139" s="86">
        <v>0</v>
      </c>
      <c r="K139" s="86">
        <v>0</v>
      </c>
      <c r="L139" s="86">
        <v>0</v>
      </c>
      <c r="M139" s="86">
        <v>0</v>
      </c>
    </row>
    <row r="140">
      <c r="A140" s="3" t="s">
        <v>124</v>
      </c>
      <c r="B140" s="3"/>
      <c r="C140" s="86">
        <v>0</v>
      </c>
      <c r="D140" s="86">
        <v>0</v>
      </c>
      <c r="E140" s="86">
        <v>0</v>
      </c>
      <c r="F140" s="86">
        <v>0</v>
      </c>
      <c r="G140" s="86">
        <v>0</v>
      </c>
      <c r="H140" s="86">
        <v>0</v>
      </c>
      <c r="I140" s="86">
        <v>0</v>
      </c>
      <c r="J140" s="86">
        <v>0</v>
      </c>
      <c r="K140" s="86">
        <v>0</v>
      </c>
      <c r="L140" s="86">
        <v>0</v>
      </c>
      <c r="M140" s="86">
        <v>0</v>
      </c>
    </row>
    <row r="141">
      <c r="A141" s="3" t="s">
        <v>125</v>
      </c>
      <c r="B141" s="3"/>
      <c r="C141" s="86">
        <v>0</v>
      </c>
      <c r="D141" s="86">
        <v>0</v>
      </c>
      <c r="E141" s="86">
        <v>0</v>
      </c>
      <c r="F141" s="86">
        <v>0</v>
      </c>
      <c r="G141" s="86">
        <v>0</v>
      </c>
      <c r="H141" s="86">
        <v>0</v>
      </c>
      <c r="I141" s="86">
        <v>0</v>
      </c>
      <c r="J141" s="86">
        <v>0</v>
      </c>
      <c r="K141" s="86">
        <v>0</v>
      </c>
      <c r="L141" s="86">
        <v>0</v>
      </c>
      <c r="M141" s="86">
        <v>0</v>
      </c>
    </row>
    <row r="142">
      <c r="A142" s="3" t="s">
        <v>126</v>
      </c>
      <c r="B142" s="3"/>
      <c r="C142" s="86">
        <v>0</v>
      </c>
      <c r="D142" s="86">
        <v>0</v>
      </c>
      <c r="E142" s="86">
        <v>0</v>
      </c>
      <c r="F142" s="86">
        <v>0</v>
      </c>
      <c r="G142" s="86">
        <v>0</v>
      </c>
      <c r="H142" s="86">
        <v>0</v>
      </c>
      <c r="I142" s="86">
        <v>0</v>
      </c>
      <c r="J142" s="86">
        <v>0</v>
      </c>
      <c r="K142" s="86">
        <v>0</v>
      </c>
      <c r="L142" s="86">
        <v>0</v>
      </c>
      <c r="M142" s="86">
        <v>0</v>
      </c>
    </row>
    <row r="143">
      <c r="A143" s="3" t="s">
        <v>127</v>
      </c>
      <c r="B143" s="3"/>
      <c r="C143" s="86">
        <v>0</v>
      </c>
      <c r="D143" s="86">
        <v>0</v>
      </c>
      <c r="E143" s="86">
        <v>0</v>
      </c>
      <c r="F143" s="86">
        <v>0</v>
      </c>
      <c r="G143" s="86">
        <v>0</v>
      </c>
      <c r="H143" s="86">
        <v>0</v>
      </c>
      <c r="I143" s="86">
        <v>0</v>
      </c>
      <c r="J143" s="86">
        <v>0</v>
      </c>
      <c r="K143" s="86">
        <v>0</v>
      </c>
      <c r="L143" s="86">
        <v>0</v>
      </c>
      <c r="M143" s="86">
        <v>0</v>
      </c>
    </row>
    <row r="144">
      <c r="A144" s="3" t="s">
        <v>128</v>
      </c>
      <c r="B144" s="3"/>
      <c r="C144" s="86">
        <v>9</v>
      </c>
      <c r="D144" s="86">
        <v>1</v>
      </c>
      <c r="E144" s="86">
        <v>0</v>
      </c>
      <c r="F144" s="86">
        <v>0</v>
      </c>
      <c r="G144" s="86">
        <v>0</v>
      </c>
      <c r="H144" s="86">
        <v>0</v>
      </c>
      <c r="I144" s="86">
        <v>0</v>
      </c>
      <c r="J144" s="86">
        <v>0</v>
      </c>
      <c r="K144" s="86">
        <v>0</v>
      </c>
      <c r="L144" s="86">
        <v>0</v>
      </c>
      <c r="M144" s="86">
        <v>0</v>
      </c>
    </row>
    <row r="145">
      <c r="A145" s="3" t="s">
        <v>553</v>
      </c>
      <c r="B145" s="3"/>
      <c r="C145" s="86">
        <v>16</v>
      </c>
      <c r="D145" s="86">
        <v>3</v>
      </c>
      <c r="E145" s="86">
        <v>0</v>
      </c>
      <c r="F145" s="86">
        <v>1</v>
      </c>
      <c r="G145" s="86">
        <v>0</v>
      </c>
      <c r="H145" s="86">
        <v>1</v>
      </c>
      <c r="I145" s="86">
        <v>0</v>
      </c>
      <c r="J145" s="86">
        <v>0</v>
      </c>
      <c r="K145" s="86">
        <v>0</v>
      </c>
      <c r="L145" s="86">
        <v>0</v>
      </c>
      <c r="M145" s="86">
        <v>2</v>
      </c>
    </row>
    <row r="147">
      <c r="A147" s="57"/>
      <c r="B147" s="57"/>
      <c r="C147" s="57"/>
      <c r="D147" s="57"/>
      <c r="E147" s="57"/>
      <c r="F147" s="57"/>
      <c r="G147" s="57"/>
      <c r="H147" s="57"/>
      <c r="I147" s="57"/>
      <c r="J147" s="57"/>
      <c r="K147" s="57"/>
      <c r="L147" s="57"/>
      <c r="M147" s="57"/>
    </row>
    <row r="151">
      <c r="A151" s="22" t="s">
        <v>560</v>
      </c>
      <c r="B151" s="22"/>
      <c r="C151" s="22"/>
      <c r="D151" s="22"/>
      <c r="E151" s="22"/>
      <c r="F151" s="22"/>
      <c r="G151" s="22"/>
      <c r="H151" s="22"/>
      <c r="I151" s="22"/>
      <c r="J151" s="22"/>
      <c r="K151" s="22"/>
      <c r="L151" s="22"/>
      <c r="M151" s="22"/>
    </row>
    <row r="152">
      <c r="B152" s="22"/>
      <c r="C152" s="22">
        <v>2026</v>
      </c>
      <c r="D152" s="22">
        <v>2027</v>
      </c>
      <c r="E152" s="22">
        <v>2028</v>
      </c>
      <c r="F152" s="22">
        <v>2029</v>
      </c>
      <c r="G152" s="22">
        <v>2030</v>
      </c>
      <c r="H152" s="22">
        <v>2031</v>
      </c>
      <c r="I152" s="22">
        <v>2032</v>
      </c>
      <c r="J152" s="22">
        <v>2033</v>
      </c>
      <c r="K152" s="22">
        <v>2034</v>
      </c>
      <c r="L152" s="22">
        <v>2035</v>
      </c>
      <c r="M152" s="22">
        <v>2036</v>
      </c>
    </row>
    <row r="153">
      <c r="A153" s="4" t="s">
        <v>561</v>
      </c>
      <c r="B153" s="3"/>
      <c r="C153" s="3">
        <v>0</v>
      </c>
      <c r="D153" s="3">
        <v>0</v>
      </c>
      <c r="E153" s="3">
        <v>0</v>
      </c>
      <c r="F153" s="3">
        <v>0</v>
      </c>
      <c r="G153" s="3">
        <v>0</v>
      </c>
      <c r="H153" s="3">
        <v>0</v>
      </c>
      <c r="I153" s="3">
        <v>0</v>
      </c>
      <c r="J153" s="3">
        <v>0</v>
      </c>
      <c r="K153" s="3">
        <v>0</v>
      </c>
      <c r="L153" s="3">
        <v>0</v>
      </c>
      <c r="M153" s="3">
        <v>0</v>
      </c>
    </row>
    <row r="154">
      <c r="A154" s="4" t="s">
        <v>562</v>
      </c>
      <c r="B154" s="3"/>
      <c r="C154" s="3">
        <v>0</v>
      </c>
      <c r="D154" s="3">
        <v>0</v>
      </c>
      <c r="E154" s="3">
        <v>0</v>
      </c>
      <c r="F154" s="3">
        <v>0</v>
      </c>
      <c r="G154" s="3">
        <v>0</v>
      </c>
      <c r="H154" s="3">
        <v>0</v>
      </c>
      <c r="I154" s="3">
        <v>0</v>
      </c>
      <c r="J154" s="3">
        <v>0</v>
      </c>
      <c r="K154" s="3">
        <v>0</v>
      </c>
      <c r="L154" s="3">
        <v>0</v>
      </c>
      <c r="M154" s="3">
        <v>0</v>
      </c>
    </row>
    <row r="155">
      <c r="A155" s="4" t="s">
        <v>563</v>
      </c>
      <c r="B155" s="3"/>
      <c r="C155" s="3">
        <v>0</v>
      </c>
      <c r="D155" s="3">
        <v>0</v>
      </c>
      <c r="E155" s="3">
        <v>0</v>
      </c>
      <c r="F155" s="3">
        <v>0</v>
      </c>
      <c r="G155" s="3">
        <v>0</v>
      </c>
      <c r="H155" s="3">
        <v>0</v>
      </c>
      <c r="I155" s="3">
        <v>0</v>
      </c>
      <c r="J155" s="3">
        <v>0</v>
      </c>
      <c r="K155" s="3">
        <v>0</v>
      </c>
      <c r="L155" s="3">
        <v>0</v>
      </c>
      <c r="M155" s="3">
        <v>0</v>
      </c>
    </row>
    <row r="156">
      <c r="A156" s="4" t="s">
        <v>564</v>
      </c>
      <c r="B156" s="3"/>
      <c r="C156" s="3">
        <v>0</v>
      </c>
      <c r="D156" s="3">
        <v>0</v>
      </c>
      <c r="E156" s="3">
        <v>0</v>
      </c>
      <c r="F156" s="3">
        <v>0</v>
      </c>
      <c r="G156" s="3">
        <v>0</v>
      </c>
      <c r="H156" s="3">
        <v>0</v>
      </c>
      <c r="I156" s="3">
        <v>0</v>
      </c>
      <c r="J156" s="3">
        <v>0</v>
      </c>
      <c r="K156" s="3">
        <v>0</v>
      </c>
      <c r="L156" s="3">
        <v>0</v>
      </c>
      <c r="M156" s="3">
        <v>0</v>
      </c>
    </row>
    <row r="157">
      <c r="A157" s="4" t="s">
        <v>565</v>
      </c>
      <c r="B157" s="3"/>
      <c r="C157" s="3">
        <v>0</v>
      </c>
      <c r="D157" s="3">
        <v>0</v>
      </c>
      <c r="E157" s="3">
        <v>0</v>
      </c>
      <c r="F157" s="3">
        <v>0</v>
      </c>
      <c r="G157" s="3">
        <v>0</v>
      </c>
      <c r="H157" s="3">
        <v>0</v>
      </c>
      <c r="I157" s="3">
        <v>0</v>
      </c>
      <c r="J157" s="3">
        <v>0</v>
      </c>
      <c r="K157" s="3">
        <v>0</v>
      </c>
      <c r="L157" s="3">
        <v>0</v>
      </c>
      <c r="M157" s="3">
        <v>0</v>
      </c>
    </row>
    <row r="158">
      <c r="A158" s="4" t="s">
        <v>566</v>
      </c>
      <c r="B158" s="3"/>
      <c r="C158" s="3">
        <v>0</v>
      </c>
      <c r="D158" s="3">
        <v>0</v>
      </c>
      <c r="E158" s="3">
        <v>0</v>
      </c>
      <c r="F158" s="3">
        <v>0</v>
      </c>
      <c r="G158" s="3">
        <v>0</v>
      </c>
      <c r="H158" s="3">
        <v>0</v>
      </c>
      <c r="I158" s="3">
        <v>0</v>
      </c>
      <c r="J158" s="3">
        <v>0</v>
      </c>
      <c r="K158" s="3">
        <v>0</v>
      </c>
      <c r="L158" s="3">
        <v>0</v>
      </c>
      <c r="M158" s="3">
        <v>0</v>
      </c>
    </row>
    <row r="159">
      <c r="A159" s="4" t="s">
        <v>567</v>
      </c>
      <c r="B159" s="3"/>
      <c r="C159" s="3">
        <v>0</v>
      </c>
      <c r="D159" s="3">
        <v>0</v>
      </c>
      <c r="E159" s="3">
        <v>0</v>
      </c>
      <c r="F159" s="3">
        <v>0</v>
      </c>
      <c r="G159" s="3">
        <v>0</v>
      </c>
      <c r="H159" s="3">
        <v>0</v>
      </c>
      <c r="I159" s="3">
        <v>0</v>
      </c>
      <c r="J159" s="3">
        <v>0</v>
      </c>
      <c r="K159" s="3">
        <v>0</v>
      </c>
      <c r="L159" s="3">
        <v>0</v>
      </c>
      <c r="M159" s="3">
        <v>0</v>
      </c>
    </row>
    <row r="160">
      <c r="A160" s="4" t="s">
        <v>568</v>
      </c>
      <c r="B160" s="3"/>
      <c r="C160" s="3">
        <v>0</v>
      </c>
      <c r="D160" s="3">
        <v>0</v>
      </c>
      <c r="E160" s="3">
        <v>0</v>
      </c>
      <c r="F160" s="3">
        <v>0</v>
      </c>
      <c r="G160" s="3">
        <v>0</v>
      </c>
      <c r="H160" s="3">
        <v>0</v>
      </c>
      <c r="I160" s="3">
        <v>0</v>
      </c>
      <c r="J160" s="3">
        <v>0</v>
      </c>
      <c r="K160" s="3">
        <v>0</v>
      </c>
      <c r="L160" s="3">
        <v>0</v>
      </c>
      <c r="M160" s="3">
        <v>0</v>
      </c>
    </row>
    <row r="161">
      <c r="A161" s="4" t="s">
        <v>569</v>
      </c>
      <c r="B161" s="3"/>
      <c r="C161" s="3">
        <v>0</v>
      </c>
      <c r="D161" s="3">
        <v>0</v>
      </c>
      <c r="E161" s="3">
        <v>0</v>
      </c>
      <c r="F161" s="3">
        <v>0</v>
      </c>
      <c r="G161" s="3">
        <v>0</v>
      </c>
      <c r="H161" s="3">
        <v>0</v>
      </c>
      <c r="I161" s="3">
        <v>0</v>
      </c>
      <c r="J161" s="3">
        <v>0</v>
      </c>
      <c r="K161" s="3">
        <v>0</v>
      </c>
      <c r="L161" s="3">
        <v>0</v>
      </c>
      <c r="M161" s="3">
        <v>0</v>
      </c>
    </row>
    <row r="162">
      <c r="A162" s="4" t="s">
        <v>570</v>
      </c>
      <c r="B162" s="3"/>
      <c r="C162" s="3">
        <v>0</v>
      </c>
      <c r="D162" s="3">
        <v>0</v>
      </c>
      <c r="E162" s="3">
        <v>0</v>
      </c>
      <c r="F162" s="3">
        <v>0</v>
      </c>
      <c r="G162" s="3">
        <v>0</v>
      </c>
      <c r="H162" s="3">
        <v>0</v>
      </c>
      <c r="I162" s="3">
        <v>0</v>
      </c>
      <c r="J162" s="3">
        <v>0</v>
      </c>
      <c r="K162" s="3">
        <v>0</v>
      </c>
      <c r="L162" s="3">
        <v>0</v>
      </c>
      <c r="M162" s="3">
        <v>0</v>
      </c>
    </row>
    <row r="163">
      <c r="A163" s="4" t="s">
        <v>571</v>
      </c>
      <c r="B163" s="3"/>
      <c r="C163" s="3">
        <v>0</v>
      </c>
      <c r="D163" s="3">
        <v>0</v>
      </c>
      <c r="E163" s="3">
        <v>0</v>
      </c>
      <c r="F163" s="3">
        <v>0</v>
      </c>
      <c r="G163" s="3">
        <v>0</v>
      </c>
      <c r="H163" s="3">
        <v>0</v>
      </c>
      <c r="I163" s="3">
        <v>0</v>
      </c>
      <c r="J163" s="3">
        <v>0</v>
      </c>
      <c r="K163" s="3">
        <v>0</v>
      </c>
      <c r="L163" s="3">
        <v>0</v>
      </c>
      <c r="M163" s="3">
        <v>0</v>
      </c>
    </row>
    <row r="164">
      <c r="A164" s="4" t="s">
        <v>572</v>
      </c>
      <c r="B164" s="3"/>
      <c r="C164" s="3">
        <v>0</v>
      </c>
      <c r="D164" s="3">
        <v>0</v>
      </c>
      <c r="E164" s="3">
        <v>0</v>
      </c>
      <c r="F164" s="3">
        <v>0</v>
      </c>
      <c r="G164" s="3">
        <v>0</v>
      </c>
      <c r="H164" s="3">
        <v>0</v>
      </c>
      <c r="I164" s="3">
        <v>0</v>
      </c>
      <c r="J164" s="3">
        <v>0</v>
      </c>
      <c r="K164" s="3">
        <v>0</v>
      </c>
      <c r="L164" s="3">
        <v>0</v>
      </c>
      <c r="M164" s="3">
        <v>0</v>
      </c>
    </row>
    <row r="165">
      <c r="A165" s="4" t="s">
        <v>573</v>
      </c>
      <c r="B165" s="3"/>
      <c r="C165" s="3">
        <v>15</v>
      </c>
      <c r="D165" s="3">
        <v>3</v>
      </c>
      <c r="E165" s="3">
        <v>0</v>
      </c>
      <c r="F165" s="3">
        <v>0</v>
      </c>
      <c r="G165" s="3">
        <v>0</v>
      </c>
      <c r="H165" s="3">
        <v>1</v>
      </c>
      <c r="I165" s="3">
        <v>0</v>
      </c>
      <c r="J165" s="3">
        <v>0</v>
      </c>
      <c r="K165" s="3">
        <v>0</v>
      </c>
      <c r="L165" s="3">
        <v>0</v>
      </c>
      <c r="M165" s="3">
        <v>1</v>
      </c>
    </row>
    <row r="167">
      <c r="A167" s="22" t="s">
        <v>574</v>
      </c>
      <c r="B167" s="22"/>
      <c r="C167" s="22"/>
      <c r="D167" s="22"/>
      <c r="E167" s="22"/>
      <c r="F167" s="22"/>
      <c r="G167" s="22"/>
      <c r="H167" s="22"/>
      <c r="I167" s="22"/>
      <c r="J167" s="22"/>
      <c r="K167" s="22"/>
      <c r="L167" s="22"/>
      <c r="M167" s="22"/>
    </row>
    <row r="168">
      <c r="B168" s="22">
        <v>2025</v>
      </c>
      <c r="C168" s="22">
        <v>2026</v>
      </c>
      <c r="D168" s="22">
        <v>2027</v>
      </c>
      <c r="E168" s="22">
        <v>2028</v>
      </c>
      <c r="F168" s="22">
        <v>2029</v>
      </c>
      <c r="G168" s="22">
        <v>2030</v>
      </c>
      <c r="H168" s="22">
        <v>2031</v>
      </c>
      <c r="I168" s="22">
        <v>2032</v>
      </c>
      <c r="J168" s="22">
        <v>2033</v>
      </c>
      <c r="K168" s="22">
        <v>2034</v>
      </c>
      <c r="L168" s="22">
        <v>2035</v>
      </c>
      <c r="M168" s="22">
        <v>2036</v>
      </c>
    </row>
    <row r="169">
      <c r="A169" s="4" t="s">
        <v>575</v>
      </c>
      <c r="B169" s="3">
        <v>21</v>
      </c>
      <c r="C169" s="3">
        <v>6</v>
      </c>
      <c r="D169" s="3">
        <v>3</v>
      </c>
      <c r="E169" s="3">
        <v>3</v>
      </c>
      <c r="F169" s="3">
        <v>2</v>
      </c>
      <c r="G169" s="3">
        <v>2</v>
      </c>
      <c r="H169" s="3">
        <v>1</v>
      </c>
      <c r="I169" s="3">
        <v>1</v>
      </c>
      <c r="J169" s="3">
        <v>1</v>
      </c>
      <c r="K169" s="3">
        <v>1</v>
      </c>
      <c r="L169" s="3">
        <v>1</v>
      </c>
      <c r="M169" s="3">
        <v>0</v>
      </c>
    </row>
    <row r="170">
      <c r="A170" s="4" t="s">
        <v>12</v>
      </c>
      <c r="B170" s="3">
        <v>0</v>
      </c>
      <c r="C170" s="3">
        <v>0</v>
      </c>
      <c r="D170" s="3">
        <v>0</v>
      </c>
      <c r="E170" s="3">
        <v>0</v>
      </c>
      <c r="F170" s="3">
        <v>0</v>
      </c>
      <c r="G170" s="3">
        <v>0</v>
      </c>
      <c r="H170" s="3">
        <v>0</v>
      </c>
      <c r="I170" s="3">
        <v>0</v>
      </c>
      <c r="J170" s="3">
        <v>0</v>
      </c>
      <c r="K170" s="3">
        <v>0</v>
      </c>
      <c r="L170" s="3">
        <v>0</v>
      </c>
      <c r="M170" s="3">
        <v>0</v>
      </c>
    </row>
    <row r="171">
      <c r="A171" s="4" t="s">
        <v>576</v>
      </c>
      <c r="B171" s="3">
        <v>21</v>
      </c>
      <c r="C171" s="3">
        <v>6</v>
      </c>
      <c r="D171" s="3">
        <v>3</v>
      </c>
      <c r="E171" s="3">
        <v>3</v>
      </c>
      <c r="F171" s="3">
        <v>2</v>
      </c>
      <c r="G171" s="3">
        <v>2</v>
      </c>
      <c r="H171" s="3">
        <v>1</v>
      </c>
      <c r="I171" s="3">
        <v>1</v>
      </c>
      <c r="J171" s="3">
        <v>1</v>
      </c>
      <c r="K171" s="3">
        <v>1</v>
      </c>
      <c r="L171" s="3">
        <v>1</v>
      </c>
      <c r="M171" s="3">
        <v>0</v>
      </c>
    </row>
    <row r="172">
      <c r="A172" s="4" t="s">
        <v>545</v>
      </c>
      <c r="B172" s="3">
        <v>0</v>
      </c>
      <c r="C172" s="3">
        <v>0</v>
      </c>
      <c r="D172" s="3">
        <v>0</v>
      </c>
      <c r="E172" s="3">
        <v>0</v>
      </c>
      <c r="F172" s="3">
        <v>0</v>
      </c>
      <c r="G172" s="3">
        <v>0</v>
      </c>
      <c r="H172" s="3">
        <v>0</v>
      </c>
      <c r="I172" s="3">
        <v>0</v>
      </c>
      <c r="J172" s="3">
        <v>0</v>
      </c>
      <c r="K172" s="3">
        <v>0</v>
      </c>
      <c r="L172" s="3">
        <v>0</v>
      </c>
      <c r="M172" s="3">
        <v>0</v>
      </c>
    </row>
    <row r="173">
      <c r="A173" s="4" t="s">
        <v>546</v>
      </c>
      <c r="B173" s="3">
        <v>0</v>
      </c>
      <c r="C173" s="3">
        <v>0</v>
      </c>
      <c r="D173" s="3">
        <v>0</v>
      </c>
      <c r="E173" s="3">
        <v>0</v>
      </c>
      <c r="F173" s="3">
        <v>0</v>
      </c>
      <c r="G173" s="3">
        <v>0</v>
      </c>
      <c r="H173" s="3">
        <v>0</v>
      </c>
      <c r="I173" s="3">
        <v>0</v>
      </c>
      <c r="J173" s="3">
        <v>0</v>
      </c>
      <c r="K173" s="3">
        <v>0</v>
      </c>
      <c r="L173" s="3">
        <v>0</v>
      </c>
      <c r="M173" s="3">
        <v>0</v>
      </c>
    </row>
    <row r="174">
      <c r="A174" s="4" t="s">
        <v>547</v>
      </c>
      <c r="B174" s="3">
        <v>0</v>
      </c>
      <c r="C174" s="3">
        <v>0</v>
      </c>
      <c r="D174" s="3">
        <v>0</v>
      </c>
      <c r="E174" s="3">
        <v>0</v>
      </c>
      <c r="F174" s="3">
        <v>0</v>
      </c>
      <c r="G174" s="3">
        <v>0</v>
      </c>
      <c r="H174" s="3">
        <v>0</v>
      </c>
      <c r="I174" s="3">
        <v>0</v>
      </c>
      <c r="J174" s="3">
        <v>0</v>
      </c>
      <c r="K174" s="3">
        <v>0</v>
      </c>
      <c r="L174" s="3">
        <v>0</v>
      </c>
      <c r="M174" s="3">
        <v>0</v>
      </c>
    </row>
    <row r="175">
      <c r="A175" s="4" t="s">
        <v>548</v>
      </c>
      <c r="B175" s="3">
        <v>0</v>
      </c>
      <c r="C175" s="3">
        <v>0</v>
      </c>
      <c r="D175" s="3">
        <v>0</v>
      </c>
      <c r="E175" s="3">
        <v>0</v>
      </c>
      <c r="F175" s="3">
        <v>0</v>
      </c>
      <c r="G175" s="3">
        <v>0</v>
      </c>
      <c r="H175" s="3">
        <v>0</v>
      </c>
      <c r="I175" s="3">
        <v>0</v>
      </c>
      <c r="J175" s="3">
        <v>0</v>
      </c>
      <c r="K175" s="3">
        <v>0</v>
      </c>
      <c r="L175" s="3">
        <v>0</v>
      </c>
      <c r="M175" s="3">
        <v>0</v>
      </c>
    </row>
    <row r="176">
      <c r="A176" s="4" t="s">
        <v>549</v>
      </c>
      <c r="B176" s="3">
        <v>21</v>
      </c>
      <c r="C176" s="3">
        <v>6</v>
      </c>
      <c r="D176" s="3">
        <v>3</v>
      </c>
      <c r="E176" s="3">
        <v>3</v>
      </c>
      <c r="F176" s="3">
        <v>2</v>
      </c>
      <c r="G176" s="3">
        <v>2</v>
      </c>
      <c r="H176" s="3">
        <v>1</v>
      </c>
      <c r="I176" s="3">
        <v>1</v>
      </c>
      <c r="J176" s="3">
        <v>1</v>
      </c>
      <c r="K176" s="3">
        <v>1</v>
      </c>
      <c r="L176" s="3">
        <v>1</v>
      </c>
      <c r="M176" s="3">
        <v>0</v>
      </c>
    </row>
    <row r="177">
      <c r="A177" s="4" t="s">
        <v>577</v>
      </c>
      <c r="B177" s="3">
        <v>0</v>
      </c>
      <c r="C177" s="3">
        <v>0</v>
      </c>
      <c r="D177" s="3">
        <v>0</v>
      </c>
      <c r="E177" s="3">
        <v>0</v>
      </c>
      <c r="F177" s="3">
        <v>0</v>
      </c>
      <c r="G177" s="3">
        <v>0</v>
      </c>
      <c r="H177" s="3">
        <v>0</v>
      </c>
      <c r="I177" s="3">
        <v>0</v>
      </c>
      <c r="J177" s="3">
        <v>0</v>
      </c>
      <c r="K177" s="3">
        <v>0</v>
      </c>
      <c r="L177" s="3">
        <v>0</v>
      </c>
      <c r="M177" s="3">
        <v>0</v>
      </c>
    </row>
    <row r="178">
      <c r="A178" s="4" t="s">
        <v>578</v>
      </c>
      <c r="B178" s="3">
        <v>0</v>
      </c>
      <c r="C178" s="3">
        <v>0</v>
      </c>
      <c r="D178" s="3">
        <v>0</v>
      </c>
      <c r="E178" s="3">
        <v>0</v>
      </c>
      <c r="F178" s="3">
        <v>0</v>
      </c>
      <c r="G178" s="3">
        <v>0</v>
      </c>
      <c r="H178" s="3">
        <v>0</v>
      </c>
      <c r="I178" s="3">
        <v>0</v>
      </c>
      <c r="J178" s="3">
        <v>0</v>
      </c>
      <c r="K178" s="3">
        <v>0</v>
      </c>
      <c r="L178" s="3">
        <v>0</v>
      </c>
      <c r="M178" s="3">
        <v>0</v>
      </c>
    </row>
    <row r="179">
      <c r="A179" s="4" t="s">
        <v>579</v>
      </c>
      <c r="B179" s="3">
        <v>0</v>
      </c>
      <c r="C179" s="3">
        <v>0</v>
      </c>
      <c r="D179" s="3">
        <v>0</v>
      </c>
      <c r="E179" s="3">
        <v>0</v>
      </c>
      <c r="F179" s="3">
        <v>0</v>
      </c>
      <c r="G179" s="3">
        <v>0</v>
      </c>
      <c r="H179" s="3">
        <v>0</v>
      </c>
      <c r="I179" s="3">
        <v>0</v>
      </c>
      <c r="J179" s="3">
        <v>0</v>
      </c>
      <c r="K179" s="3">
        <v>0</v>
      </c>
      <c r="L179" s="3">
        <v>0</v>
      </c>
      <c r="M179" s="3">
        <v>0</v>
      </c>
    </row>
    <row r="180">
      <c r="A180" s="4" t="s">
        <v>580</v>
      </c>
      <c r="B180" s="3">
        <v>0</v>
      </c>
      <c r="C180" s="3">
        <v>0</v>
      </c>
      <c r="D180" s="3">
        <v>0</v>
      </c>
      <c r="E180" s="3">
        <v>0</v>
      </c>
      <c r="F180" s="3">
        <v>0</v>
      </c>
      <c r="G180" s="3">
        <v>0</v>
      </c>
      <c r="H180" s="3">
        <v>0</v>
      </c>
      <c r="I180" s="3">
        <v>0</v>
      </c>
      <c r="J180" s="3">
        <v>0</v>
      </c>
      <c r="K180" s="3">
        <v>0</v>
      </c>
      <c r="L180" s="3">
        <v>0</v>
      </c>
      <c r="M180" s="3">
        <v>0</v>
      </c>
    </row>
    <row r="181">
      <c r="A181" s="3"/>
      <c r="B181" s="3"/>
      <c r="C181" s="3"/>
      <c r="D181" s="3"/>
      <c r="E181" s="3"/>
      <c r="F181" s="3"/>
      <c r="G181" s="3"/>
      <c r="H181" s="3"/>
      <c r="I181" s="3"/>
      <c r="J181" s="3"/>
      <c r="K181" s="3"/>
      <c r="L181" s="3"/>
      <c r="M181" s="3"/>
    </row>
    <row r="183">
      <c r="A183" s="22" t="s">
        <v>581</v>
      </c>
      <c r="B183" s="22"/>
      <c r="C183" s="22"/>
      <c r="D183" s="22"/>
      <c r="E183" s="22"/>
      <c r="F183" s="22"/>
      <c r="G183" s="22"/>
      <c r="H183" s="22"/>
      <c r="I183" s="22"/>
      <c r="J183" s="22"/>
      <c r="K183" s="22"/>
      <c r="L183" s="22"/>
      <c r="M183" s="22"/>
    </row>
    <row r="184">
      <c r="B184" s="22">
        <v>2025</v>
      </c>
      <c r="C184" s="22">
        <v>2026</v>
      </c>
      <c r="D184" s="22">
        <v>2027</v>
      </c>
      <c r="E184" s="22">
        <v>2028</v>
      </c>
      <c r="F184" s="22">
        <v>2029</v>
      </c>
      <c r="G184" s="22">
        <v>2030</v>
      </c>
      <c r="H184" s="22">
        <v>2031</v>
      </c>
      <c r="I184" s="22">
        <v>2032</v>
      </c>
      <c r="J184" s="22">
        <v>2033</v>
      </c>
      <c r="K184" s="22">
        <v>2034</v>
      </c>
      <c r="L184" s="22">
        <v>2035</v>
      </c>
      <c r="M184" s="22">
        <v>2036</v>
      </c>
    </row>
    <row r="185">
      <c r="A185" s="4" t="s">
        <v>575</v>
      </c>
      <c r="B185" s="87">
        <v>24219.8</v>
      </c>
      <c r="C185" s="87">
        <v>8310</v>
      </c>
      <c r="D185" s="87">
        <v>1795.8</v>
      </c>
      <c r="E185" s="87">
        <v>1795.8</v>
      </c>
      <c r="F185" s="87">
        <v>1215</v>
      </c>
      <c r="G185" s="87">
        <v>1215</v>
      </c>
      <c r="H185" s="87">
        <v>574.2</v>
      </c>
      <c r="I185" s="87">
        <v>574.2</v>
      </c>
      <c r="J185" s="87">
        <v>574.2</v>
      </c>
      <c r="K185" s="87">
        <v>574.2</v>
      </c>
      <c r="L185" s="87">
        <v>574.2</v>
      </c>
      <c r="M185" s="87">
        <v>0</v>
      </c>
    </row>
    <row r="187">
      <c r="A187" s="22" t="s">
        <v>582</v>
      </c>
      <c r="B187" s="22"/>
      <c r="C187" s="22"/>
      <c r="D187" s="22"/>
      <c r="E187" s="22"/>
      <c r="F187" s="22"/>
      <c r="G187" s="22"/>
      <c r="H187" s="22"/>
      <c r="I187" s="22"/>
      <c r="J187" s="22"/>
      <c r="K187" s="22"/>
      <c r="L187" s="22"/>
      <c r="M187" s="22"/>
    </row>
    <row r="188">
      <c r="B188" s="22">
        <v>2025</v>
      </c>
      <c r="C188" s="22">
        <v>2026</v>
      </c>
      <c r="D188" s="22">
        <v>2027</v>
      </c>
      <c r="E188" s="22">
        <v>2028</v>
      </c>
      <c r="F188" s="22">
        <v>2029</v>
      </c>
      <c r="G188" s="22">
        <v>2030</v>
      </c>
      <c r="H188" s="22">
        <v>2031</v>
      </c>
      <c r="I188" s="22">
        <v>2032</v>
      </c>
      <c r="J188" s="22">
        <v>2033</v>
      </c>
      <c r="K188" s="22">
        <v>2034</v>
      </c>
      <c r="L188" s="22">
        <v>2035</v>
      </c>
      <c r="M188" s="22">
        <v>2036</v>
      </c>
    </row>
    <row r="189">
      <c r="A189" s="4" t="s">
        <v>583</v>
      </c>
      <c r="B189" s="3">
        <v>0</v>
      </c>
      <c r="C189" s="3">
        <v>7</v>
      </c>
      <c r="D189" s="3">
        <v>10</v>
      </c>
      <c r="E189" s="3">
        <v>10</v>
      </c>
      <c r="F189" s="3">
        <v>11</v>
      </c>
      <c r="G189" s="3">
        <v>11</v>
      </c>
      <c r="H189" s="3">
        <v>12</v>
      </c>
      <c r="I189" s="3">
        <v>12</v>
      </c>
      <c r="J189" s="3">
        <v>11</v>
      </c>
      <c r="K189" s="3">
        <v>11</v>
      </c>
      <c r="L189" s="3">
        <v>11</v>
      </c>
      <c r="M189" s="3">
        <v>12</v>
      </c>
    </row>
    <row r="190">
      <c r="A190" s="4" t="s">
        <v>584</v>
      </c>
      <c r="B190" s="3">
        <v>0</v>
      </c>
      <c r="C190" s="3">
        <v>8</v>
      </c>
      <c r="D190" s="3">
        <v>8</v>
      </c>
      <c r="E190" s="3">
        <v>8</v>
      </c>
      <c r="F190" s="3">
        <v>8</v>
      </c>
      <c r="G190" s="3">
        <v>8</v>
      </c>
      <c r="H190" s="3">
        <v>8</v>
      </c>
      <c r="I190" s="3">
        <v>8</v>
      </c>
      <c r="J190" s="3">
        <v>9</v>
      </c>
      <c r="K190" s="3">
        <v>9</v>
      </c>
      <c r="L190" s="3">
        <v>9</v>
      </c>
      <c r="M190" s="3">
        <v>9</v>
      </c>
    </row>
    <row r="191">
      <c r="A191" s="4" t="s">
        <v>331</v>
      </c>
      <c r="B191" s="3">
        <v>21</v>
      </c>
      <c r="C191" s="3">
        <v>6</v>
      </c>
      <c r="D191" s="3">
        <v>3</v>
      </c>
      <c r="E191" s="3">
        <v>3</v>
      </c>
      <c r="F191" s="3">
        <v>2</v>
      </c>
      <c r="G191" s="3">
        <v>2</v>
      </c>
      <c r="H191" s="3">
        <v>1</v>
      </c>
      <c r="I191" s="3">
        <v>1</v>
      </c>
      <c r="J191" s="3">
        <v>1</v>
      </c>
      <c r="K191" s="3">
        <v>1</v>
      </c>
      <c r="L191" s="3">
        <v>1</v>
      </c>
      <c r="M191" s="3">
        <v>0</v>
      </c>
    </row>
    <row r="192">
      <c r="A192" s="4" t="s">
        <v>88</v>
      </c>
      <c r="B192" s="3">
        <v>3</v>
      </c>
      <c r="C192" s="3">
        <v>0</v>
      </c>
      <c r="D192" s="3">
        <v>0</v>
      </c>
      <c r="E192" s="3">
        <v>0</v>
      </c>
      <c r="F192" s="3">
        <v>0</v>
      </c>
      <c r="G192" s="3">
        <v>0</v>
      </c>
      <c r="H192" s="3">
        <v>0</v>
      </c>
      <c r="I192" s="3">
        <v>0</v>
      </c>
      <c r="J192" s="3">
        <v>0</v>
      </c>
      <c r="K192" s="3">
        <v>0</v>
      </c>
      <c r="L192" s="3">
        <v>0</v>
      </c>
      <c r="M192" s="3">
        <v>0</v>
      </c>
    </row>
    <row r="194">
      <c r="A194" s="22" t="s">
        <v>585</v>
      </c>
      <c r="B194" s="22"/>
      <c r="C194" s="22"/>
      <c r="D194" s="22"/>
      <c r="E194" s="22"/>
      <c r="F194" s="22"/>
      <c r="G194" s="22"/>
      <c r="H194" s="22"/>
      <c r="I194" s="22"/>
      <c r="J194" s="22"/>
      <c r="K194" s="22"/>
      <c r="L194" s="22"/>
      <c r="M194" s="22"/>
    </row>
    <row r="195">
      <c r="B195" s="22">
        <v>2025</v>
      </c>
      <c r="C195" s="22">
        <v>2026</v>
      </c>
      <c r="D195" s="22">
        <v>2027</v>
      </c>
      <c r="E195" s="22">
        <v>2028</v>
      </c>
      <c r="F195" s="22">
        <v>2029</v>
      </c>
      <c r="G195" s="22">
        <v>2030</v>
      </c>
      <c r="H195" s="22">
        <v>2031</v>
      </c>
      <c r="I195" s="22">
        <v>2032</v>
      </c>
      <c r="J195" s="22">
        <v>2033</v>
      </c>
      <c r="K195" s="22">
        <v>2034</v>
      </c>
      <c r="L195" s="22">
        <v>2035</v>
      </c>
      <c r="M195" s="22">
        <v>2036</v>
      </c>
    </row>
    <row r="196">
      <c r="A196" s="4" t="s">
        <v>583</v>
      </c>
      <c r="B196" s="88">
        <f>B189/SUM(B189:B191)</f>
        <v>0</v>
      </c>
      <c r="C196" s="88">
        <f>C189/SUM(C189:C191)</f>
        <v>0.3333333333333333</v>
      </c>
      <c r="D196" s="88">
        <f>D189/SUM(D189:D191)</f>
        <v>0.47619047619047616</v>
      </c>
      <c r="E196" s="88">
        <f>E189/SUM(E189:E191)</f>
        <v>0.47619047619047616</v>
      </c>
      <c r="F196" s="88">
        <f>F189/SUM(F189:F191)</f>
        <v>0.5238095238095238</v>
      </c>
      <c r="G196" s="88">
        <f>G189/SUM(G189:G191)</f>
        <v>0.5238095238095238</v>
      </c>
      <c r="H196" s="88">
        <f>H189/SUM(H189:H191)</f>
        <v>0.5714285714285714</v>
      </c>
      <c r="I196" s="88">
        <f>I189/SUM(I189:I191)</f>
        <v>0.5714285714285714</v>
      </c>
      <c r="J196" s="88">
        <f>J189/SUM(J189:J191)</f>
        <v>0.5238095238095238</v>
      </c>
      <c r="K196" s="88">
        <f>K189/SUM(K189:K191)</f>
        <v>0.5238095238095238</v>
      </c>
      <c r="L196" s="88">
        <f>L189/SUM(L189:L191)</f>
        <v>0.5238095238095238</v>
      </c>
      <c r="M196" s="88">
        <f>M189/SUM(M189:M191)</f>
        <v>0.5714285714285714</v>
      </c>
      <c r="N196" s="81"/>
    </row>
    <row r="197">
      <c r="A197" s="4" t="s">
        <v>584</v>
      </c>
      <c r="B197" s="88">
        <f>B190/SUM(B189:B191)</f>
        <v>0</v>
      </c>
      <c r="C197" s="88">
        <f>C190/SUM(C189:C191)</f>
        <v>0.38095238095238093</v>
      </c>
      <c r="D197" s="88">
        <f>D190/SUM(D189:D191)</f>
        <v>0.38095238095238093</v>
      </c>
      <c r="E197" s="88">
        <f>E190/SUM(E189:E191)</f>
        <v>0.38095238095238093</v>
      </c>
      <c r="F197" s="88">
        <f>F190/SUM(F189:F191)</f>
        <v>0.38095238095238093</v>
      </c>
      <c r="G197" s="88">
        <f>G190/SUM(G189:G191)</f>
        <v>0.38095238095238093</v>
      </c>
      <c r="H197" s="88">
        <f>H190/SUM(H189:H191)</f>
        <v>0.38095238095238093</v>
      </c>
      <c r="I197" s="88">
        <f>I190/SUM(I189:I191)</f>
        <v>0.38095238095238093</v>
      </c>
      <c r="J197" s="88">
        <f>J190/SUM(J189:J191)</f>
        <v>0.42857142857142855</v>
      </c>
      <c r="K197" s="88">
        <f>K190/SUM(K189:K191)</f>
        <v>0.42857142857142855</v>
      </c>
      <c r="L197" s="88">
        <f>L190/SUM(L189:L191)</f>
        <v>0.42857142857142855</v>
      </c>
      <c r="M197" s="88">
        <f>M190/SUM(M189:M191)</f>
        <v>0.42857142857142855</v>
      </c>
      <c r="N197" s="81"/>
    </row>
    <row r="198">
      <c r="A198" s="4" t="s">
        <v>331</v>
      </c>
      <c r="B198" s="88">
        <f>B191/SUM(B189:B191)</f>
        <v>1</v>
      </c>
      <c r="C198" s="88">
        <f>C191/SUM(C189:C191)</f>
        <v>0.2857142857142857</v>
      </c>
      <c r="D198" s="88">
        <f>D191/SUM(D189:D191)</f>
        <v>0.14285714285714285</v>
      </c>
      <c r="E198" s="88">
        <f>E191/SUM(E189:E191)</f>
        <v>0.14285714285714285</v>
      </c>
      <c r="F198" s="88">
        <f>F191/SUM(F189:F191)</f>
        <v>0.09523809523809523</v>
      </c>
      <c r="G198" s="88">
        <f>G191/SUM(G189:G191)</f>
        <v>0.09523809523809523</v>
      </c>
      <c r="H198" s="88">
        <f>H191/SUM(H189:H191)</f>
        <v>0.047619047619047616</v>
      </c>
      <c r="I198" s="88">
        <f>I191/SUM(I189:I191)</f>
        <v>0.047619047619047616</v>
      </c>
      <c r="J198" s="88">
        <f>J191/SUM(J189:J191)</f>
        <v>0.047619047619047616</v>
      </c>
      <c r="K198" s="88">
        <f>K191/SUM(K189:K191)</f>
        <v>0.047619047619047616</v>
      </c>
      <c r="L198" s="88">
        <f>L191/SUM(L189:L191)</f>
        <v>0.047619047619047616</v>
      </c>
      <c r="M198" s="88">
        <f>M191/SUM(M189:M191)</f>
        <v>0</v>
      </c>
      <c r="N198" s="81"/>
    </row>
    <row r="199">
      <c r="A199" s="4" t="s">
        <v>88</v>
      </c>
      <c r="B199" s="88">
        <f>B192/SUM(B189:B191)</f>
        <v>0.14285714285714285</v>
      </c>
      <c r="C199" s="88">
        <f>C192/SUM(C189:C191)</f>
        <v>0</v>
      </c>
      <c r="D199" s="88">
        <f>D192/SUM(D189:D191)</f>
        <v>0</v>
      </c>
      <c r="E199" s="88">
        <f>E192/SUM(E189:E191)</f>
        <v>0</v>
      </c>
      <c r="F199" s="88">
        <f>F192/SUM(F189:F191)</f>
        <v>0</v>
      </c>
      <c r="G199" s="88">
        <f>G192/SUM(G189:G191)</f>
        <v>0</v>
      </c>
      <c r="H199" s="88">
        <f>H192/SUM(H189:H191)</f>
        <v>0</v>
      </c>
      <c r="I199" s="88">
        <f>I192/SUM(I189:I191)</f>
        <v>0</v>
      </c>
      <c r="J199" s="88">
        <f>J192/SUM(J189:J191)</f>
        <v>0</v>
      </c>
      <c r="K199" s="88">
        <f>K192/SUM(K189:K191)</f>
        <v>0</v>
      </c>
      <c r="L199" s="88">
        <f>L192/SUM(L189:L191)</f>
        <v>0</v>
      </c>
      <c r="M199" s="88">
        <f>M192/SUM(M189:M191)</f>
        <v>0</v>
      </c>
      <c r="N199" s="81"/>
    </row>
    <row r="201">
      <c r="A201" s="22" t="s">
        <v>586</v>
      </c>
      <c r="B201" s="22"/>
      <c r="C201" s="22"/>
      <c r="D201" s="22"/>
      <c r="E201" s="22"/>
      <c r="F201" s="22"/>
      <c r="G201" s="22"/>
      <c r="H201" s="22"/>
      <c r="I201" s="22"/>
      <c r="J201" s="22"/>
      <c r="K201" s="22"/>
      <c r="L201" s="22"/>
      <c r="M201" s="22"/>
    </row>
    <row r="202">
      <c r="B202" s="22">
        <v>2025</v>
      </c>
      <c r="C202" s="22">
        <v>2026</v>
      </c>
      <c r="D202" s="22">
        <v>2027</v>
      </c>
      <c r="E202" s="22">
        <v>2028</v>
      </c>
      <c r="F202" s="22">
        <v>2029</v>
      </c>
      <c r="G202" s="22">
        <v>2030</v>
      </c>
      <c r="H202" s="22">
        <v>2031</v>
      </c>
      <c r="I202" s="22">
        <v>2032</v>
      </c>
      <c r="J202" s="22">
        <v>2033</v>
      </c>
      <c r="K202" s="22">
        <v>2034</v>
      </c>
      <c r="L202" s="22">
        <v>2035</v>
      </c>
      <c r="M202" s="22">
        <v>2036</v>
      </c>
    </row>
    <row r="203">
      <c r="A203" s="4" t="s">
        <v>583</v>
      </c>
      <c r="B203" s="87">
        <v>0</v>
      </c>
      <c r="C203" s="87">
        <v>6176.299999999999</v>
      </c>
      <c r="D203" s="87">
        <v>12690.499999999998</v>
      </c>
      <c r="E203" s="87">
        <v>12690.499999999998</v>
      </c>
      <c r="F203" s="87">
        <v>13271.299999999997</v>
      </c>
      <c r="G203" s="87">
        <v>13271.299999999997</v>
      </c>
      <c r="H203" s="87">
        <v>13912.099999999997</v>
      </c>
      <c r="I203" s="87">
        <v>13912.099999999997</v>
      </c>
      <c r="J203" s="87">
        <v>10508.299999999997</v>
      </c>
      <c r="K203" s="87">
        <v>10508.299999999997</v>
      </c>
      <c r="L203" s="87">
        <v>10508.299999999997</v>
      </c>
      <c r="M203" s="87">
        <v>11082.499999999998</v>
      </c>
    </row>
    <row r="204">
      <c r="A204" s="4" t="s">
        <v>584</v>
      </c>
      <c r="B204" s="87">
        <v>0</v>
      </c>
      <c r="C204" s="87">
        <v>9733.5</v>
      </c>
      <c r="D204" s="87">
        <v>9733.500000000002</v>
      </c>
      <c r="E204" s="87">
        <v>9733.500000000002</v>
      </c>
      <c r="F204" s="87">
        <v>9733.500000000002</v>
      </c>
      <c r="G204" s="87">
        <v>9733.500000000002</v>
      </c>
      <c r="H204" s="87">
        <v>9733.500000000002</v>
      </c>
      <c r="I204" s="87">
        <v>9733.500000000002</v>
      </c>
      <c r="J204" s="87">
        <v>13137.300000000001</v>
      </c>
      <c r="K204" s="87">
        <v>13137.300000000001</v>
      </c>
      <c r="L204" s="87">
        <v>13137.300000000001</v>
      </c>
      <c r="M204" s="87">
        <v>13137.300000000001</v>
      </c>
    </row>
    <row r="205">
      <c r="A205" s="4" t="s">
        <v>331</v>
      </c>
      <c r="B205" s="87">
        <v>24219.8</v>
      </c>
      <c r="C205" s="87">
        <v>8310</v>
      </c>
      <c r="D205" s="87">
        <v>1795.8</v>
      </c>
      <c r="E205" s="87">
        <v>1795.8</v>
      </c>
      <c r="F205" s="87">
        <v>1215</v>
      </c>
      <c r="G205" s="87">
        <v>1215</v>
      </c>
      <c r="H205" s="87">
        <v>574.2</v>
      </c>
      <c r="I205" s="87">
        <v>574.2</v>
      </c>
      <c r="J205" s="87">
        <v>574.2</v>
      </c>
      <c r="K205" s="87">
        <v>574.2</v>
      </c>
      <c r="L205" s="87">
        <v>574.2</v>
      </c>
      <c r="M205" s="87">
        <v>0</v>
      </c>
    </row>
    <row r="206">
      <c r="A206" s="4" t="s">
        <v>88</v>
      </c>
      <c r="B206" s="87">
        <v>4017.2</v>
      </c>
      <c r="C206" s="87">
        <v>0</v>
      </c>
      <c r="D206" s="87">
        <v>0</v>
      </c>
      <c r="E206" s="87">
        <v>0</v>
      </c>
      <c r="F206" s="87">
        <v>0</v>
      </c>
      <c r="G206" s="87">
        <v>0</v>
      </c>
      <c r="H206" s="87">
        <v>0</v>
      </c>
      <c r="I206" s="87">
        <v>0</v>
      </c>
      <c r="J206" s="87">
        <v>0</v>
      </c>
      <c r="K206" s="87">
        <v>0</v>
      </c>
      <c r="L206" s="87">
        <v>0</v>
      </c>
      <c r="M206" s="87">
        <v>0</v>
      </c>
    </row>
    <row r="208">
      <c r="A208" s="22" t="s">
        <v>587</v>
      </c>
      <c r="B208" s="22"/>
      <c r="C208" s="22"/>
      <c r="D208" s="22"/>
      <c r="E208" s="22"/>
      <c r="F208" s="22"/>
      <c r="G208" s="22"/>
      <c r="H208" s="22"/>
      <c r="I208" s="22"/>
      <c r="J208" s="22"/>
      <c r="K208" s="22"/>
      <c r="L208" s="22"/>
      <c r="M208" s="22"/>
    </row>
    <row r="209">
      <c r="B209" s="22">
        <v>2025</v>
      </c>
      <c r="C209" s="22">
        <v>2026</v>
      </c>
      <c r="D209" s="22">
        <v>2027</v>
      </c>
      <c r="E209" s="22">
        <v>2028</v>
      </c>
      <c r="F209" s="22">
        <v>2029</v>
      </c>
      <c r="G209" s="22">
        <v>2030</v>
      </c>
      <c r="H209" s="22">
        <v>2031</v>
      </c>
      <c r="I209" s="22">
        <v>2032</v>
      </c>
      <c r="J209" s="22">
        <v>2033</v>
      </c>
      <c r="K209" s="22">
        <v>2034</v>
      </c>
      <c r="L209" s="22">
        <v>2035</v>
      </c>
      <c r="M209" s="22">
        <v>2036</v>
      </c>
    </row>
    <row r="210">
      <c r="A210" s="4" t="s">
        <v>583</v>
      </c>
      <c r="B210" s="88">
        <f>B203/SUM(B203:B205)</f>
        <v>0</v>
      </c>
      <c r="C210" s="88">
        <f>C203/SUM(C203:C205)</f>
        <v>0.2550103634216632</v>
      </c>
      <c r="D210" s="88">
        <f>D203/SUM(D203:D205)</f>
        <v>0.5239721219828404</v>
      </c>
      <c r="E210" s="88">
        <f>E203/SUM(E203:E205)</f>
        <v>0.5239721219828404</v>
      </c>
      <c r="F210" s="88">
        <f>F203/SUM(F203:F205)</f>
        <v>0.5479525016721855</v>
      </c>
      <c r="G210" s="88">
        <f>G203/SUM(G203:G205)</f>
        <v>0.5479525016721855</v>
      </c>
      <c r="H210" s="88">
        <f>H203/SUM(H203:H205)</f>
        <v>0.5744101933129091</v>
      </c>
      <c r="I210" s="88">
        <f>I203/SUM(I203:I205)</f>
        <v>0.5744101933129091</v>
      </c>
      <c r="J210" s="88">
        <f>J203/SUM(J203:J205)</f>
        <v>0.43387228631119984</v>
      </c>
      <c r="K210" s="88">
        <f>K203/SUM(K203:K205)</f>
        <v>0.43387228631119984</v>
      </c>
      <c r="L210" s="88">
        <f>L203/SUM(L203:L205)</f>
        <v>0.43387228631119984</v>
      </c>
      <c r="M210" s="88">
        <f>M203/SUM(M203:M205)</f>
        <v>0.45758016168589327</v>
      </c>
      <c r="N210" s="81"/>
    </row>
    <row r="211">
      <c r="A211" s="4" t="s">
        <v>584</v>
      </c>
      <c r="B211" s="88">
        <f>B204/SUM(B203:B205)</f>
        <v>0</v>
      </c>
      <c r="C211" s="88">
        <f>C204/SUM(C203:C205)</f>
        <v>0.4018819313123973</v>
      </c>
      <c r="D211" s="88">
        <f>D204/SUM(D203:D205)</f>
        <v>0.40188193131239736</v>
      </c>
      <c r="E211" s="88">
        <f>E204/SUM(E203:E205)</f>
        <v>0.40188193131239736</v>
      </c>
      <c r="F211" s="88">
        <f>F204/SUM(F203:F205)</f>
        <v>0.40188193131239736</v>
      </c>
      <c r="G211" s="88">
        <f>G204/SUM(G203:G205)</f>
        <v>0.40188193131239736</v>
      </c>
      <c r="H211" s="88">
        <f>H204/SUM(H203:H205)</f>
        <v>0.40188193131239736</v>
      </c>
      <c r="I211" s="88">
        <f>I204/SUM(I203:I205)</f>
        <v>0.40188193131239736</v>
      </c>
      <c r="J211" s="88">
        <f>J204/SUM(J203:J205)</f>
        <v>0.5424198383141067</v>
      </c>
      <c r="K211" s="88">
        <f>K204/SUM(K203:K205)</f>
        <v>0.5424198383141067</v>
      </c>
      <c r="L211" s="88">
        <f>L204/SUM(L203:L205)</f>
        <v>0.5424198383141067</v>
      </c>
      <c r="M211" s="88">
        <f>M204/SUM(M203:M205)</f>
        <v>0.5424198383141067</v>
      </c>
      <c r="N211" s="81"/>
    </row>
    <row r="212">
      <c r="A212" s="4" t="s">
        <v>331</v>
      </c>
      <c r="B212" s="88">
        <f>B205/SUM(B203:B205)</f>
        <v>1</v>
      </c>
      <c r="C212" s="88">
        <f>C205/SUM(C203:C205)</f>
        <v>0.3431077052659394</v>
      </c>
      <c r="D212" s="88">
        <f>D205/SUM(D203:D205)</f>
        <v>0.07414594670476223</v>
      </c>
      <c r="E212" s="88">
        <f>E205/SUM(E203:E205)</f>
        <v>0.07414594670476223</v>
      </c>
      <c r="F212" s="88">
        <f>F205/SUM(F203:F205)</f>
        <v>0.05016556701541714</v>
      </c>
      <c r="G212" s="88">
        <f>G205/SUM(G203:G205)</f>
        <v>0.05016556701541714</v>
      </c>
      <c r="H212" s="88">
        <f>H205/SUM(H203:H205)</f>
        <v>0.023707875374693436</v>
      </c>
      <c r="I212" s="88">
        <f>I205/SUM(I203:I205)</f>
        <v>0.023707875374693436</v>
      </c>
      <c r="J212" s="88">
        <f>J205/SUM(J203:J205)</f>
        <v>0.023707875374693436</v>
      </c>
      <c r="K212" s="88">
        <f>K205/SUM(K203:K205)</f>
        <v>0.023707875374693436</v>
      </c>
      <c r="L212" s="88">
        <f>L205/SUM(L203:L205)</f>
        <v>0.023707875374693436</v>
      </c>
      <c r="M212" s="88">
        <f>M205/SUM(M203:M205)</f>
        <v>0</v>
      </c>
      <c r="N212" s="81"/>
    </row>
    <row r="213">
      <c r="A213" s="4" t="s">
        <v>88</v>
      </c>
      <c r="B213" s="88">
        <f>B206/SUM(B203:B205)</f>
        <v>0.16586429285130347</v>
      </c>
      <c r="C213" s="88">
        <f>C206/SUM(C203:C205)</f>
        <v>0</v>
      </c>
      <c r="D213" s="88">
        <f>D206/SUM(D203:D205)</f>
        <v>0</v>
      </c>
      <c r="E213" s="88">
        <f>E206/SUM(E203:E205)</f>
        <v>0</v>
      </c>
      <c r="F213" s="88">
        <f>F206/SUM(F203:F205)</f>
        <v>0</v>
      </c>
      <c r="G213" s="88">
        <f>G206/SUM(G203:G205)</f>
        <v>0</v>
      </c>
      <c r="H213" s="88">
        <f>H206/SUM(H203:H205)</f>
        <v>0</v>
      </c>
      <c r="I213" s="88">
        <f>I206/SUM(I203:I205)</f>
        <v>0</v>
      </c>
      <c r="J213" s="88">
        <f>J206/SUM(J203:J205)</f>
        <v>0</v>
      </c>
      <c r="K213" s="88">
        <f>K206/SUM(K203:K205)</f>
        <v>0</v>
      </c>
      <c r="L213" s="88">
        <f>L206/SUM(L203:L205)</f>
        <v>0</v>
      </c>
      <c r="M213" s="88">
        <f>M206/SUM(M203:M205)</f>
        <v>0</v>
      </c>
      <c r="N213" s="81"/>
    </row>
    <row r="215">
      <c r="A215" s="22" t="s">
        <v>588</v>
      </c>
      <c r="B215" s="22"/>
      <c r="C215" s="22"/>
      <c r="D215" s="22"/>
      <c r="E215" s="22"/>
      <c r="F215" s="22"/>
      <c r="G215" s="22"/>
      <c r="H215" s="22"/>
      <c r="I215" s="22"/>
      <c r="J215" s="22"/>
      <c r="K215" s="22"/>
      <c r="L215" s="22"/>
      <c r="M215" s="22"/>
    </row>
    <row r="216">
      <c r="B216" s="22">
        <v>2025</v>
      </c>
      <c r="C216" s="22">
        <v>2026</v>
      </c>
      <c r="D216" s="22">
        <v>2027</v>
      </c>
      <c r="E216" s="22">
        <v>2028</v>
      </c>
      <c r="F216" s="22">
        <v>2029</v>
      </c>
      <c r="G216" s="22">
        <v>2030</v>
      </c>
      <c r="H216" s="22">
        <v>2031</v>
      </c>
      <c r="I216" s="22">
        <v>2032</v>
      </c>
      <c r="J216" s="22">
        <v>2033</v>
      </c>
      <c r="K216" s="22">
        <v>2034</v>
      </c>
      <c r="L216" s="22">
        <v>2035</v>
      </c>
      <c r="M216" s="22">
        <v>2036</v>
      </c>
    </row>
    <row r="217">
      <c r="A217" s="4" t="s">
        <v>583</v>
      </c>
      <c r="B217" s="3">
        <v>0</v>
      </c>
      <c r="C217" s="3">
        <v>0</v>
      </c>
      <c r="D217" s="3">
        <v>0</v>
      </c>
      <c r="E217" s="3">
        <v>0</v>
      </c>
      <c r="F217" s="3">
        <v>0</v>
      </c>
      <c r="G217" s="3">
        <v>0</v>
      </c>
      <c r="H217" s="3">
        <v>0</v>
      </c>
      <c r="I217" s="3">
        <v>0</v>
      </c>
      <c r="J217" s="3">
        <v>0</v>
      </c>
      <c r="K217" s="3">
        <v>0</v>
      </c>
      <c r="L217" s="3">
        <v>0</v>
      </c>
      <c r="M217" s="3">
        <v>0</v>
      </c>
    </row>
    <row r="218">
      <c r="A218" s="4" t="s">
        <v>584</v>
      </c>
      <c r="B218" s="3">
        <v>0</v>
      </c>
      <c r="C218" s="3">
        <v>0</v>
      </c>
      <c r="D218" s="3">
        <v>0</v>
      </c>
      <c r="E218" s="3">
        <v>0</v>
      </c>
      <c r="F218" s="3">
        <v>0</v>
      </c>
      <c r="G218" s="3">
        <v>0</v>
      </c>
      <c r="H218" s="3">
        <v>0</v>
      </c>
      <c r="I218" s="3">
        <v>0</v>
      </c>
      <c r="J218" s="3">
        <v>0</v>
      </c>
      <c r="K218" s="3">
        <v>0</v>
      </c>
      <c r="L218" s="3">
        <v>0</v>
      </c>
      <c r="M218" s="3">
        <v>0</v>
      </c>
    </row>
    <row r="219">
      <c r="A219" s="4" t="s">
        <v>331</v>
      </c>
      <c r="B219" s="3">
        <v>0</v>
      </c>
      <c r="C219" s="3">
        <v>0</v>
      </c>
      <c r="D219" s="3">
        <v>0</v>
      </c>
      <c r="E219" s="3">
        <v>0</v>
      </c>
      <c r="F219" s="3">
        <v>0</v>
      </c>
      <c r="G219" s="3">
        <v>0</v>
      </c>
      <c r="H219" s="3">
        <v>0</v>
      </c>
      <c r="I219" s="3">
        <v>0</v>
      </c>
      <c r="J219" s="3">
        <v>0</v>
      </c>
      <c r="K219" s="3">
        <v>0</v>
      </c>
      <c r="L219" s="3">
        <v>0</v>
      </c>
      <c r="M219" s="3">
        <v>0</v>
      </c>
    </row>
    <row r="220">
      <c r="A220" s="4" t="s">
        <v>88</v>
      </c>
      <c r="B220" s="3">
        <v>0</v>
      </c>
      <c r="C220" s="3">
        <v>0</v>
      </c>
      <c r="D220" s="3">
        <v>0</v>
      </c>
      <c r="E220" s="3">
        <v>0</v>
      </c>
      <c r="F220" s="3">
        <v>0</v>
      </c>
      <c r="G220" s="3">
        <v>0</v>
      </c>
      <c r="H220" s="3">
        <v>0</v>
      </c>
      <c r="I220" s="3">
        <v>0</v>
      </c>
      <c r="J220" s="3">
        <v>0</v>
      </c>
      <c r="K220" s="3">
        <v>0</v>
      </c>
      <c r="L220" s="3">
        <v>0</v>
      </c>
      <c r="M220" s="3">
        <v>0</v>
      </c>
    </row>
    <row r="222">
      <c r="A222" s="22" t="s">
        <v>589</v>
      </c>
      <c r="B222" s="22"/>
      <c r="C222" s="22"/>
      <c r="D222" s="22"/>
      <c r="E222" s="22"/>
      <c r="F222" s="22"/>
      <c r="G222" s="22"/>
      <c r="H222" s="22"/>
      <c r="I222" s="22"/>
      <c r="J222" s="22"/>
      <c r="K222" s="22"/>
      <c r="L222" s="22"/>
      <c r="M222" s="22"/>
    </row>
    <row r="223">
      <c r="B223" s="22">
        <v>2025</v>
      </c>
      <c r="C223" s="22">
        <v>2026</v>
      </c>
      <c r="D223" s="22">
        <v>2027</v>
      </c>
      <c r="E223" s="22">
        <v>2028</v>
      </c>
      <c r="F223" s="22">
        <v>2029</v>
      </c>
      <c r="G223" s="22">
        <v>2030</v>
      </c>
      <c r="H223" s="22">
        <v>2031</v>
      </c>
      <c r="I223" s="22">
        <v>2032</v>
      </c>
      <c r="J223" s="22">
        <v>2033</v>
      </c>
      <c r="K223" s="22">
        <v>2034</v>
      </c>
      <c r="L223" s="22">
        <v>2035</v>
      </c>
      <c r="M223" s="22">
        <v>2036</v>
      </c>
    </row>
    <row r="224">
      <c r="A224" s="4" t="s">
        <v>583</v>
      </c>
      <c r="B224" s="88" t="e">
        <f>B217/SUM(B217:B219)</f>
        <v>#DIV/0!</v>
      </c>
      <c r="C224" s="88" t="e">
        <f>C217/SUM(C217:C219)</f>
        <v>#DIV/0!</v>
      </c>
      <c r="D224" s="88" t="e">
        <f>D217/SUM(D217:D219)</f>
        <v>#DIV/0!</v>
      </c>
      <c r="E224" s="88" t="e">
        <f>E217/SUM(E217:E219)</f>
        <v>#DIV/0!</v>
      </c>
      <c r="F224" s="88" t="e">
        <f>F217/SUM(F217:F219)</f>
        <v>#DIV/0!</v>
      </c>
      <c r="G224" s="88" t="e">
        <f>G217/SUM(G217:G219)</f>
        <v>#DIV/0!</v>
      </c>
      <c r="H224" s="88" t="e">
        <f>H217/SUM(H217:H219)</f>
        <v>#DIV/0!</v>
      </c>
      <c r="I224" s="88" t="e">
        <f>I217/SUM(I217:I219)</f>
        <v>#DIV/0!</v>
      </c>
      <c r="J224" s="88" t="e">
        <f>J217/SUM(J217:J219)</f>
        <v>#DIV/0!</v>
      </c>
      <c r="K224" s="88" t="e">
        <f>K217/SUM(K217:K219)</f>
        <v>#DIV/0!</v>
      </c>
      <c r="L224" s="88" t="e">
        <f>L217/SUM(L217:L219)</f>
        <v>#DIV/0!</v>
      </c>
      <c r="M224" s="88" t="e">
        <f>M217/SUM(M217:M219)</f>
        <v>#DIV/0!</v>
      </c>
      <c r="N224" s="81"/>
    </row>
    <row r="225">
      <c r="A225" s="4" t="s">
        <v>584</v>
      </c>
      <c r="B225" s="88" t="e">
        <f>B218/SUM(B217:B219)</f>
        <v>#DIV/0!</v>
      </c>
      <c r="C225" s="88" t="e">
        <f>C218/SUM(C217:C219)</f>
        <v>#DIV/0!</v>
      </c>
      <c r="D225" s="88" t="e">
        <f>D218/SUM(D217:D219)</f>
        <v>#DIV/0!</v>
      </c>
      <c r="E225" s="88" t="e">
        <f>E218/SUM(E217:E219)</f>
        <v>#DIV/0!</v>
      </c>
      <c r="F225" s="88" t="e">
        <f>F218/SUM(F217:F219)</f>
        <v>#DIV/0!</v>
      </c>
      <c r="G225" s="88" t="e">
        <f>G218/SUM(G217:G219)</f>
        <v>#DIV/0!</v>
      </c>
      <c r="H225" s="88" t="e">
        <f>H218/SUM(H217:H219)</f>
        <v>#DIV/0!</v>
      </c>
      <c r="I225" s="88" t="e">
        <f>I218/SUM(I217:I219)</f>
        <v>#DIV/0!</v>
      </c>
      <c r="J225" s="88" t="e">
        <f>J218/SUM(J217:J219)</f>
        <v>#DIV/0!</v>
      </c>
      <c r="K225" s="88" t="e">
        <f>K218/SUM(K217:K219)</f>
        <v>#DIV/0!</v>
      </c>
      <c r="L225" s="88" t="e">
        <f>L218/SUM(L217:L219)</f>
        <v>#DIV/0!</v>
      </c>
      <c r="M225" s="88" t="e">
        <f>M218/SUM(M217:M219)</f>
        <v>#DIV/0!</v>
      </c>
      <c r="N225" s="81"/>
    </row>
    <row r="226">
      <c r="A226" s="4" t="s">
        <v>331</v>
      </c>
      <c r="B226" s="88" t="e">
        <f>B219/SUM(B217:B219)</f>
        <v>#DIV/0!</v>
      </c>
      <c r="C226" s="88" t="e">
        <f>C219/SUM(C217:C219)</f>
        <v>#DIV/0!</v>
      </c>
      <c r="D226" s="88" t="e">
        <f>D219/SUM(D217:D219)</f>
        <v>#DIV/0!</v>
      </c>
      <c r="E226" s="88" t="e">
        <f>E219/SUM(E217:E219)</f>
        <v>#DIV/0!</v>
      </c>
      <c r="F226" s="88" t="e">
        <f>F219/SUM(F217:F219)</f>
        <v>#DIV/0!</v>
      </c>
      <c r="G226" s="88" t="e">
        <f>G219/SUM(G217:G219)</f>
        <v>#DIV/0!</v>
      </c>
      <c r="H226" s="88" t="e">
        <f>H219/SUM(H217:H219)</f>
        <v>#DIV/0!</v>
      </c>
      <c r="I226" s="88" t="e">
        <f>I219/SUM(I217:I219)</f>
        <v>#DIV/0!</v>
      </c>
      <c r="J226" s="88" t="e">
        <f>J219/SUM(J217:J219)</f>
        <v>#DIV/0!</v>
      </c>
      <c r="K226" s="88" t="e">
        <f>K219/SUM(K217:K219)</f>
        <v>#DIV/0!</v>
      </c>
      <c r="L226" s="88" t="e">
        <f>L219/SUM(L217:L219)</f>
        <v>#DIV/0!</v>
      </c>
      <c r="M226" s="88" t="e">
        <f>M219/SUM(M217:M219)</f>
        <v>#DIV/0!</v>
      </c>
      <c r="N226" s="81"/>
    </row>
    <row r="227">
      <c r="A227" s="4" t="s">
        <v>88</v>
      </c>
      <c r="B227" s="88" t="e">
        <f>B220/SUM(B217:B219)</f>
        <v>#DIV/0!</v>
      </c>
      <c r="C227" s="88" t="e">
        <f>C220/SUM(C217:C219)</f>
        <v>#DIV/0!</v>
      </c>
      <c r="D227" s="88" t="e">
        <f>D220/SUM(D217:D219)</f>
        <v>#DIV/0!</v>
      </c>
      <c r="E227" s="88" t="e">
        <f>E220/SUM(E217:E219)</f>
        <v>#DIV/0!</v>
      </c>
      <c r="F227" s="88" t="e">
        <f>F220/SUM(F217:F219)</f>
        <v>#DIV/0!</v>
      </c>
      <c r="G227" s="88" t="e">
        <f>G220/SUM(G217:G219)</f>
        <v>#DIV/0!</v>
      </c>
      <c r="H227" s="88" t="e">
        <f>H220/SUM(H217:H219)</f>
        <v>#DIV/0!</v>
      </c>
      <c r="I227" s="88" t="e">
        <f>I220/SUM(I217:I219)</f>
        <v>#DIV/0!</v>
      </c>
      <c r="J227" s="88" t="e">
        <f>J220/SUM(J217:J219)</f>
        <v>#DIV/0!</v>
      </c>
      <c r="K227" s="88" t="e">
        <f>K220/SUM(K217:K219)</f>
        <v>#DIV/0!</v>
      </c>
      <c r="L227" s="88" t="e">
        <f>L220/SUM(L217:L219)</f>
        <v>#DIV/0!</v>
      </c>
      <c r="M227" s="88" t="e">
        <f>M220/SUM(M217:M219)</f>
        <v>#DIV/0!</v>
      </c>
      <c r="N227" s="81"/>
    </row>
    <row r="229">
      <c r="A229" s="22" t="s">
        <v>590</v>
      </c>
      <c r="B229" s="22"/>
      <c r="C229" s="22"/>
      <c r="D229" s="22"/>
      <c r="E229" s="22"/>
      <c r="F229" s="22"/>
      <c r="G229" s="22"/>
      <c r="H229" s="22"/>
      <c r="I229" s="22"/>
      <c r="J229" s="22"/>
      <c r="K229" s="22"/>
      <c r="L229" s="22"/>
      <c r="M229" s="22"/>
    </row>
    <row r="230">
      <c r="B230" s="22">
        <v>2025</v>
      </c>
      <c r="C230" s="22">
        <v>2026</v>
      </c>
      <c r="D230" s="22">
        <v>2027</v>
      </c>
      <c r="E230" s="22">
        <v>2028</v>
      </c>
      <c r="F230" s="22">
        <v>2029</v>
      </c>
      <c r="G230" s="22">
        <v>2030</v>
      </c>
      <c r="H230" s="22">
        <v>2031</v>
      </c>
      <c r="I230" s="22">
        <v>2032</v>
      </c>
      <c r="J230" s="22">
        <v>2033</v>
      </c>
      <c r="K230" s="22">
        <v>2034</v>
      </c>
      <c r="L230" s="22">
        <v>2035</v>
      </c>
      <c r="M230" s="22">
        <v>2036</v>
      </c>
    </row>
    <row r="231">
      <c r="A231" s="4" t="s">
        <v>583</v>
      </c>
      <c r="B231" s="87">
        <v>0</v>
      </c>
      <c r="C231" s="87">
        <v>7</v>
      </c>
      <c r="D231" s="87">
        <v>10</v>
      </c>
      <c r="E231" s="87">
        <v>10</v>
      </c>
      <c r="F231" s="87">
        <v>11</v>
      </c>
      <c r="G231" s="87">
        <v>11</v>
      </c>
      <c r="H231" s="87">
        <v>12</v>
      </c>
      <c r="I231" s="87">
        <v>12</v>
      </c>
      <c r="J231" s="87">
        <v>11</v>
      </c>
      <c r="K231" s="87">
        <v>11</v>
      </c>
      <c r="L231" s="87">
        <v>11</v>
      </c>
      <c r="M231" s="87">
        <v>12</v>
      </c>
    </row>
    <row r="232">
      <c r="A232" s="4" t="s">
        <v>584</v>
      </c>
      <c r="B232" s="87">
        <v>0</v>
      </c>
      <c r="C232" s="87">
        <v>8</v>
      </c>
      <c r="D232" s="87">
        <v>8</v>
      </c>
      <c r="E232" s="87">
        <v>8</v>
      </c>
      <c r="F232" s="87">
        <v>8</v>
      </c>
      <c r="G232" s="87">
        <v>8</v>
      </c>
      <c r="H232" s="87">
        <v>8</v>
      </c>
      <c r="I232" s="87">
        <v>8</v>
      </c>
      <c r="J232" s="87">
        <v>9</v>
      </c>
      <c r="K232" s="87">
        <v>9</v>
      </c>
      <c r="L232" s="87">
        <v>9</v>
      </c>
      <c r="M232" s="87">
        <v>9</v>
      </c>
    </row>
    <row r="233">
      <c r="A233" s="4" t="s">
        <v>331</v>
      </c>
      <c r="B233" s="87">
        <v>21</v>
      </c>
      <c r="C233" s="87">
        <v>6</v>
      </c>
      <c r="D233" s="87">
        <v>3</v>
      </c>
      <c r="E233" s="87">
        <v>3</v>
      </c>
      <c r="F233" s="87">
        <v>2</v>
      </c>
      <c r="G233" s="87">
        <v>2</v>
      </c>
      <c r="H233" s="87">
        <v>1</v>
      </c>
      <c r="I233" s="87">
        <v>1</v>
      </c>
      <c r="J233" s="87">
        <v>1</v>
      </c>
      <c r="K233" s="87">
        <v>1</v>
      </c>
      <c r="L233" s="87">
        <v>1</v>
      </c>
      <c r="M233" s="87">
        <v>0</v>
      </c>
    </row>
    <row r="234">
      <c r="A234" s="4" t="s">
        <v>88</v>
      </c>
      <c r="B234" s="87">
        <v>3</v>
      </c>
      <c r="C234" s="87">
        <v>0</v>
      </c>
      <c r="D234" s="87">
        <v>0</v>
      </c>
      <c r="E234" s="87">
        <v>0</v>
      </c>
      <c r="F234" s="87">
        <v>0</v>
      </c>
      <c r="G234" s="87">
        <v>0</v>
      </c>
      <c r="H234" s="87">
        <v>0</v>
      </c>
      <c r="I234" s="87">
        <v>0</v>
      </c>
      <c r="J234" s="87">
        <v>0</v>
      </c>
      <c r="K234" s="87">
        <v>0</v>
      </c>
      <c r="L234" s="87">
        <v>0</v>
      </c>
      <c r="M234" s="87">
        <v>0</v>
      </c>
    </row>
    <row r="236">
      <c r="A236" s="22" t="s">
        <v>591</v>
      </c>
      <c r="B236" s="22"/>
      <c r="C236" s="22"/>
      <c r="D236" s="22"/>
      <c r="E236" s="22"/>
      <c r="F236" s="22"/>
      <c r="G236" s="22"/>
      <c r="H236" s="22"/>
      <c r="I236" s="22"/>
      <c r="J236" s="22"/>
      <c r="K236" s="22"/>
      <c r="L236" s="22"/>
      <c r="M236" s="22"/>
    </row>
    <row r="237">
      <c r="B237" s="22">
        <v>2025</v>
      </c>
      <c r="C237" s="22">
        <v>2026</v>
      </c>
      <c r="D237" s="22">
        <v>2027</v>
      </c>
      <c r="E237" s="22">
        <v>2028</v>
      </c>
      <c r="F237" s="22">
        <v>2029</v>
      </c>
      <c r="G237" s="22">
        <v>2030</v>
      </c>
      <c r="H237" s="22">
        <v>2031</v>
      </c>
      <c r="I237" s="22">
        <v>2032</v>
      </c>
      <c r="J237" s="22">
        <v>2033</v>
      </c>
      <c r="K237" s="22">
        <v>2034</v>
      </c>
      <c r="L237" s="22">
        <v>2035</v>
      </c>
      <c r="M237" s="22">
        <v>2036</v>
      </c>
    </row>
    <row r="238">
      <c r="A238" s="4" t="s">
        <v>583</v>
      </c>
      <c r="B238" s="88">
        <f>B231/SUM(B231:B233)</f>
        <v>0</v>
      </c>
      <c r="C238" s="88">
        <f>C231/SUM(C231:C233)</f>
        <v>0.3333333333333333</v>
      </c>
      <c r="D238" s="88">
        <f>D231/SUM(D231:D233)</f>
        <v>0.47619047619047616</v>
      </c>
      <c r="E238" s="88">
        <f>E231/SUM(E231:E233)</f>
        <v>0.47619047619047616</v>
      </c>
      <c r="F238" s="88">
        <f>F231/SUM(F231:F233)</f>
        <v>0.5238095238095238</v>
      </c>
      <c r="G238" s="88">
        <f>G231/SUM(G231:G233)</f>
        <v>0.5238095238095238</v>
      </c>
      <c r="H238" s="88">
        <f>H231/SUM(H231:H233)</f>
        <v>0.5714285714285714</v>
      </c>
      <c r="I238" s="88">
        <f>I231/SUM(I231:I233)</f>
        <v>0.5714285714285714</v>
      </c>
      <c r="J238" s="88">
        <f>J231/SUM(J231:J233)</f>
        <v>0.5238095238095238</v>
      </c>
      <c r="K238" s="88">
        <f>K231/SUM(K231:K233)</f>
        <v>0.5238095238095238</v>
      </c>
      <c r="L238" s="88">
        <f>L231/SUM(L231:L233)</f>
        <v>0.5238095238095238</v>
      </c>
      <c r="M238" s="88">
        <f>M231/SUM(M231:M233)</f>
        <v>0.5714285714285714</v>
      </c>
      <c r="N238" s="81"/>
    </row>
    <row r="239">
      <c r="A239" s="4" t="s">
        <v>584</v>
      </c>
      <c r="B239" s="88">
        <f>B232/SUM(B231:B233)</f>
        <v>0</v>
      </c>
      <c r="C239" s="88">
        <f>C232/SUM(C231:C233)</f>
        <v>0.38095238095238093</v>
      </c>
      <c r="D239" s="88">
        <f>D232/SUM(D231:D233)</f>
        <v>0.38095238095238093</v>
      </c>
      <c r="E239" s="88">
        <f>E232/SUM(E231:E233)</f>
        <v>0.38095238095238093</v>
      </c>
      <c r="F239" s="88">
        <f>F232/SUM(F231:F233)</f>
        <v>0.38095238095238093</v>
      </c>
      <c r="G239" s="88">
        <f>G232/SUM(G231:G233)</f>
        <v>0.38095238095238093</v>
      </c>
      <c r="H239" s="88">
        <f>H232/SUM(H231:H233)</f>
        <v>0.38095238095238093</v>
      </c>
      <c r="I239" s="88">
        <f>I232/SUM(I231:I233)</f>
        <v>0.38095238095238093</v>
      </c>
      <c r="J239" s="88">
        <f>J232/SUM(J231:J233)</f>
        <v>0.42857142857142855</v>
      </c>
      <c r="K239" s="88">
        <f>K232/SUM(K231:K233)</f>
        <v>0.42857142857142855</v>
      </c>
      <c r="L239" s="88">
        <f>L232/SUM(L231:L233)</f>
        <v>0.42857142857142855</v>
      </c>
      <c r="M239" s="88">
        <f>M232/SUM(M231:M233)</f>
        <v>0.42857142857142855</v>
      </c>
      <c r="N239" s="81"/>
    </row>
    <row r="240">
      <c r="A240" s="4" t="s">
        <v>331</v>
      </c>
      <c r="B240" s="88">
        <f>B233/SUM(B231:B233)</f>
        <v>1</v>
      </c>
      <c r="C240" s="88">
        <f>C233/SUM(C231:C233)</f>
        <v>0.2857142857142857</v>
      </c>
      <c r="D240" s="88">
        <f>D233/SUM(D231:D233)</f>
        <v>0.14285714285714285</v>
      </c>
      <c r="E240" s="88">
        <f>E233/SUM(E231:E233)</f>
        <v>0.14285714285714285</v>
      </c>
      <c r="F240" s="88">
        <f>F233/SUM(F231:F233)</f>
        <v>0.09523809523809523</v>
      </c>
      <c r="G240" s="88">
        <f>G233/SUM(G231:G233)</f>
        <v>0.09523809523809523</v>
      </c>
      <c r="H240" s="88">
        <f>H233/SUM(H231:H233)</f>
        <v>0.047619047619047616</v>
      </c>
      <c r="I240" s="88">
        <f>I233/SUM(I231:I233)</f>
        <v>0.047619047619047616</v>
      </c>
      <c r="J240" s="88">
        <f>J233/SUM(J231:J233)</f>
        <v>0.047619047619047616</v>
      </c>
      <c r="K240" s="88">
        <f>K233/SUM(K231:K233)</f>
        <v>0.047619047619047616</v>
      </c>
      <c r="L240" s="88">
        <f>L233/SUM(L231:L233)</f>
        <v>0.047619047619047616</v>
      </c>
      <c r="M240" s="88">
        <f>M233/SUM(M231:M233)</f>
        <v>0</v>
      </c>
      <c r="N240" s="81"/>
    </row>
    <row r="241">
      <c r="A241" s="4" t="s">
        <v>88</v>
      </c>
      <c r="B241" s="88">
        <f>B234/SUM(B231:B233)</f>
        <v>0.14285714285714285</v>
      </c>
      <c r="C241" s="88">
        <f>C234/SUM(C231:C233)</f>
        <v>0</v>
      </c>
      <c r="D241" s="88">
        <f>D234/SUM(D231:D233)</f>
        <v>0</v>
      </c>
      <c r="E241" s="88">
        <f>E234/SUM(E231:E233)</f>
        <v>0</v>
      </c>
      <c r="F241" s="88">
        <f>F234/SUM(F231:F233)</f>
        <v>0</v>
      </c>
      <c r="G241" s="88">
        <f>G234/SUM(G231:G233)</f>
        <v>0</v>
      </c>
      <c r="H241" s="88">
        <f>H234/SUM(H231:H233)</f>
        <v>0</v>
      </c>
      <c r="I241" s="88">
        <f>I234/SUM(I231:I233)</f>
        <v>0</v>
      </c>
      <c r="J241" s="88">
        <f>J234/SUM(J231:J233)</f>
        <v>0</v>
      </c>
      <c r="K241" s="88">
        <f>K234/SUM(K231:K233)</f>
        <v>0</v>
      </c>
      <c r="L241" s="88">
        <f>L234/SUM(L231:L233)</f>
        <v>0</v>
      </c>
      <c r="M241" s="88">
        <f>M234/SUM(M231:M233)</f>
        <v>0</v>
      </c>
      <c r="N241" s="81"/>
    </row>
    <row r="243">
      <c r="A243" s="22" t="s">
        <v>592</v>
      </c>
      <c r="B243" s="22"/>
      <c r="C243" s="22"/>
      <c r="D243" s="22"/>
      <c r="E243" s="22"/>
      <c r="F243" s="22"/>
      <c r="G243" s="22"/>
      <c r="H243" s="22"/>
      <c r="I243" s="22"/>
      <c r="J243" s="22"/>
      <c r="K243" s="22"/>
      <c r="L243" s="22"/>
      <c r="M243" s="22"/>
    </row>
    <row r="244">
      <c r="B244" s="22">
        <v>2025</v>
      </c>
      <c r="C244" s="22">
        <v>2026</v>
      </c>
      <c r="D244" s="22">
        <v>2027</v>
      </c>
      <c r="E244" s="22">
        <v>2028</v>
      </c>
      <c r="F244" s="22">
        <v>2029</v>
      </c>
      <c r="G244" s="22">
        <v>2030</v>
      </c>
      <c r="H244" s="22">
        <v>2031</v>
      </c>
      <c r="I244" s="22">
        <v>2032</v>
      </c>
      <c r="J244" s="22">
        <v>2033</v>
      </c>
      <c r="K244" s="22">
        <v>2034</v>
      </c>
      <c r="L244" s="22">
        <v>2035</v>
      </c>
      <c r="M244" s="22">
        <v>2036</v>
      </c>
    </row>
    <row r="245">
      <c r="A245" s="4" t="s">
        <v>583</v>
      </c>
      <c r="B245" s="87">
        <v>0</v>
      </c>
      <c r="C245" s="87">
        <v>0</v>
      </c>
      <c r="D245" s="87">
        <v>0</v>
      </c>
      <c r="E245" s="87">
        <v>0</v>
      </c>
      <c r="F245" s="87">
        <v>0</v>
      </c>
      <c r="G245" s="87">
        <v>0</v>
      </c>
      <c r="H245" s="87">
        <v>0</v>
      </c>
      <c r="I245" s="87">
        <v>0</v>
      </c>
      <c r="J245" s="87">
        <v>0</v>
      </c>
      <c r="K245" s="87">
        <v>0</v>
      </c>
      <c r="L245" s="87">
        <v>0</v>
      </c>
      <c r="M245" s="87">
        <v>0</v>
      </c>
    </row>
    <row r="246">
      <c r="A246" s="4" t="s">
        <v>584</v>
      </c>
      <c r="B246" s="87">
        <v>0</v>
      </c>
      <c r="C246" s="87">
        <v>0</v>
      </c>
      <c r="D246" s="87">
        <v>0</v>
      </c>
      <c r="E246" s="87">
        <v>0</v>
      </c>
      <c r="F246" s="87">
        <v>0</v>
      </c>
      <c r="G246" s="87">
        <v>0</v>
      </c>
      <c r="H246" s="87">
        <v>0</v>
      </c>
      <c r="I246" s="87">
        <v>0</v>
      </c>
      <c r="J246" s="87">
        <v>0</v>
      </c>
      <c r="K246" s="87">
        <v>0</v>
      </c>
      <c r="L246" s="87">
        <v>0</v>
      </c>
      <c r="M246" s="87">
        <v>0</v>
      </c>
    </row>
    <row r="247">
      <c r="A247" s="4" t="s">
        <v>331</v>
      </c>
      <c r="B247" s="87">
        <v>0</v>
      </c>
      <c r="C247" s="87">
        <v>0</v>
      </c>
      <c r="D247" s="87">
        <v>0</v>
      </c>
      <c r="E247" s="87">
        <v>0</v>
      </c>
      <c r="F247" s="87">
        <v>0</v>
      </c>
      <c r="G247" s="87">
        <v>0</v>
      </c>
      <c r="H247" s="87">
        <v>0</v>
      </c>
      <c r="I247" s="87">
        <v>0</v>
      </c>
      <c r="J247" s="87">
        <v>0</v>
      </c>
      <c r="K247" s="87">
        <v>0</v>
      </c>
      <c r="L247" s="87">
        <v>0</v>
      </c>
      <c r="M247" s="87">
        <v>0</v>
      </c>
    </row>
    <row r="248">
      <c r="A248" s="4" t="s">
        <v>88</v>
      </c>
      <c r="B248" s="87">
        <v>0</v>
      </c>
      <c r="C248" s="87">
        <v>0</v>
      </c>
      <c r="D248" s="87">
        <v>0</v>
      </c>
      <c r="E248" s="87">
        <v>0</v>
      </c>
      <c r="F248" s="87">
        <v>0</v>
      </c>
      <c r="G248" s="87">
        <v>0</v>
      </c>
      <c r="H248" s="87">
        <v>0</v>
      </c>
      <c r="I248" s="87">
        <v>0</v>
      </c>
      <c r="J248" s="87">
        <v>0</v>
      </c>
      <c r="K248" s="87">
        <v>0</v>
      </c>
      <c r="L248" s="87">
        <v>0</v>
      </c>
      <c r="M248" s="87">
        <v>0</v>
      </c>
    </row>
    <row r="249">
      <c r="A249" s="22" t="s">
        <v>593</v>
      </c>
      <c r="B249" s="22"/>
      <c r="C249" s="22"/>
      <c r="D249" s="22"/>
      <c r="E249" s="22"/>
      <c r="F249" s="22"/>
      <c r="G249" s="22"/>
      <c r="H249" s="22"/>
      <c r="I249" s="22"/>
      <c r="J249" s="22"/>
      <c r="K249" s="22"/>
      <c r="L249" s="22"/>
      <c r="M249" s="22"/>
    </row>
    <row r="250">
      <c r="B250" s="22">
        <v>2025</v>
      </c>
      <c r="C250" s="22">
        <v>2026</v>
      </c>
      <c r="D250" s="22">
        <v>2027</v>
      </c>
      <c r="E250" s="22">
        <v>2028</v>
      </c>
      <c r="F250" s="22">
        <v>2029</v>
      </c>
      <c r="G250" s="22">
        <v>2030</v>
      </c>
      <c r="H250" s="22">
        <v>2031</v>
      </c>
      <c r="I250" s="22">
        <v>2032</v>
      </c>
      <c r="J250" s="22">
        <v>2033</v>
      </c>
      <c r="K250" s="22">
        <v>2034</v>
      </c>
      <c r="L250" s="22">
        <v>2035</v>
      </c>
      <c r="M250" s="22">
        <v>2036</v>
      </c>
    </row>
    <row r="251">
      <c r="A251" s="4" t="s">
        <v>583</v>
      </c>
      <c r="B251" s="88" t="e">
        <f>B245/SUM(B245:B247)</f>
        <v>#DIV/0!</v>
      </c>
      <c r="C251" s="88" t="e">
        <f>C245/SUM(C245:C247)</f>
        <v>#DIV/0!</v>
      </c>
      <c r="D251" s="88" t="e">
        <f>D245/SUM(D245:D247)</f>
        <v>#DIV/0!</v>
      </c>
      <c r="E251" s="88" t="e">
        <f>E245/SUM(E245:E247)</f>
        <v>#DIV/0!</v>
      </c>
      <c r="F251" s="88" t="e">
        <f>F245/SUM(F245:F247)</f>
        <v>#DIV/0!</v>
      </c>
      <c r="G251" s="88" t="e">
        <f>G245/SUM(G245:G247)</f>
        <v>#DIV/0!</v>
      </c>
      <c r="H251" s="88" t="e">
        <f>H245/SUM(H245:H247)</f>
        <v>#DIV/0!</v>
      </c>
      <c r="I251" s="88" t="e">
        <f>I245/SUM(I245:I247)</f>
        <v>#DIV/0!</v>
      </c>
      <c r="J251" s="88" t="e">
        <f>J245/SUM(J245:J247)</f>
        <v>#DIV/0!</v>
      </c>
      <c r="K251" s="88" t="e">
        <f>K245/SUM(K245:K247)</f>
        <v>#DIV/0!</v>
      </c>
      <c r="L251" s="88" t="e">
        <f>L245/SUM(L245:L247)</f>
        <v>#DIV/0!</v>
      </c>
      <c r="M251" s="88" t="e">
        <f>M245/SUM(M245:M247)</f>
        <v>#DIV/0!</v>
      </c>
      <c r="N251" s="81"/>
    </row>
    <row r="252">
      <c r="A252" s="4" t="s">
        <v>584</v>
      </c>
      <c r="B252" s="88" t="e">
        <f>B246/SUM(B245:B247)</f>
        <v>#DIV/0!</v>
      </c>
      <c r="C252" s="88" t="e">
        <f>C246/SUM(C245:C247)</f>
        <v>#DIV/0!</v>
      </c>
      <c r="D252" s="88" t="e">
        <f>D246/SUM(D245:D247)</f>
        <v>#DIV/0!</v>
      </c>
      <c r="E252" s="88" t="e">
        <f>E246/SUM(E245:E247)</f>
        <v>#DIV/0!</v>
      </c>
      <c r="F252" s="88" t="e">
        <f>F246/SUM(F245:F247)</f>
        <v>#DIV/0!</v>
      </c>
      <c r="G252" s="88" t="e">
        <f>G246/SUM(G245:G247)</f>
        <v>#DIV/0!</v>
      </c>
      <c r="H252" s="88" t="e">
        <f>H246/SUM(H245:H247)</f>
        <v>#DIV/0!</v>
      </c>
      <c r="I252" s="88" t="e">
        <f>I246/SUM(I245:I247)</f>
        <v>#DIV/0!</v>
      </c>
      <c r="J252" s="88" t="e">
        <f>J246/SUM(J245:J247)</f>
        <v>#DIV/0!</v>
      </c>
      <c r="K252" s="88" t="e">
        <f>K246/SUM(K245:K247)</f>
        <v>#DIV/0!</v>
      </c>
      <c r="L252" s="88" t="e">
        <f>L246/SUM(L245:L247)</f>
        <v>#DIV/0!</v>
      </c>
      <c r="M252" s="88" t="e">
        <f>M246/SUM(M245:M247)</f>
        <v>#DIV/0!</v>
      </c>
      <c r="N252" s="81"/>
    </row>
    <row r="253">
      <c r="A253" s="4" t="s">
        <v>331</v>
      </c>
      <c r="B253" s="88" t="e">
        <f>B247/SUM(B245:B247)</f>
        <v>#DIV/0!</v>
      </c>
      <c r="C253" s="88" t="e">
        <f>C247/SUM(C245:C247)</f>
        <v>#DIV/0!</v>
      </c>
      <c r="D253" s="88" t="e">
        <f>D247/SUM(D245:D247)</f>
        <v>#DIV/0!</v>
      </c>
      <c r="E253" s="88" t="e">
        <f>E247/SUM(E245:E247)</f>
        <v>#DIV/0!</v>
      </c>
      <c r="F253" s="88" t="e">
        <f>F247/SUM(F245:F247)</f>
        <v>#DIV/0!</v>
      </c>
      <c r="G253" s="88" t="e">
        <f>G247/SUM(G245:G247)</f>
        <v>#DIV/0!</v>
      </c>
      <c r="H253" s="88" t="e">
        <f>H247/SUM(H245:H247)</f>
        <v>#DIV/0!</v>
      </c>
      <c r="I253" s="88" t="e">
        <f>I247/SUM(I245:I247)</f>
        <v>#DIV/0!</v>
      </c>
      <c r="J253" s="88" t="e">
        <f>J247/SUM(J245:J247)</f>
        <v>#DIV/0!</v>
      </c>
      <c r="K253" s="88" t="e">
        <f>K247/SUM(K245:K247)</f>
        <v>#DIV/0!</v>
      </c>
      <c r="L253" s="88" t="e">
        <f>L247/SUM(L245:L247)</f>
        <v>#DIV/0!</v>
      </c>
      <c r="M253" s="88" t="e">
        <f>M247/SUM(M245:M247)</f>
        <v>#DIV/0!</v>
      </c>
      <c r="N253" s="81"/>
    </row>
    <row r="254">
      <c r="A254" s="4" t="s">
        <v>88</v>
      </c>
      <c r="B254" s="88" t="e">
        <f>B248/SUM(B245:B247)</f>
        <v>#DIV/0!</v>
      </c>
      <c r="C254" s="88" t="e">
        <f>C248/SUM(C245:C247)</f>
        <v>#DIV/0!</v>
      </c>
      <c r="D254" s="88" t="e">
        <f>D248/SUM(D245:D247)</f>
        <v>#DIV/0!</v>
      </c>
      <c r="E254" s="88" t="e">
        <f>E248/SUM(E245:E247)</f>
        <v>#DIV/0!</v>
      </c>
      <c r="F254" s="88" t="e">
        <f>F248/SUM(F245:F247)</f>
        <v>#DIV/0!</v>
      </c>
      <c r="G254" s="88" t="e">
        <f>G248/SUM(G245:G247)</f>
        <v>#DIV/0!</v>
      </c>
      <c r="H254" s="88" t="e">
        <f>H248/SUM(H245:H247)</f>
        <v>#DIV/0!</v>
      </c>
      <c r="I254" s="88" t="e">
        <f>I248/SUM(I245:I247)</f>
        <v>#DIV/0!</v>
      </c>
      <c r="J254" s="88" t="e">
        <f>J248/SUM(J245:J247)</f>
        <v>#DIV/0!</v>
      </c>
      <c r="K254" s="88" t="e">
        <f>K248/SUM(K245:K247)</f>
        <v>#DIV/0!</v>
      </c>
      <c r="L254" s="88" t="e">
        <f>L248/SUM(L245:L247)</f>
        <v>#DIV/0!</v>
      </c>
      <c r="M254" s="88" t="e">
        <f>M248/SUM(M245:M247)</f>
        <v>#DIV/0!</v>
      </c>
      <c r="N254" s="81"/>
    </row>
    <row r="256">
      <c r="A256" s="22" t="s">
        <v>594</v>
      </c>
      <c r="B256" s="22"/>
      <c r="C256" s="22"/>
      <c r="D256" s="22"/>
      <c r="E256" s="22"/>
      <c r="F256" s="22"/>
      <c r="G256" s="22"/>
      <c r="H256" s="22"/>
      <c r="I256" s="22"/>
      <c r="J256" s="22"/>
      <c r="K256" s="22"/>
      <c r="L256" s="22"/>
      <c r="M256" s="22"/>
    </row>
    <row r="257">
      <c r="B257" s="22">
        <v>2025</v>
      </c>
      <c r="C257" s="22">
        <v>2026</v>
      </c>
      <c r="D257" s="22">
        <v>2027</v>
      </c>
      <c r="E257" s="22">
        <v>2028</v>
      </c>
      <c r="F257" s="22">
        <v>2029</v>
      </c>
      <c r="G257" s="22">
        <v>2030</v>
      </c>
      <c r="H257" s="22">
        <v>2031</v>
      </c>
      <c r="I257" s="22">
        <v>2032</v>
      </c>
      <c r="J257" s="22">
        <v>2033</v>
      </c>
      <c r="K257" s="22">
        <v>2034</v>
      </c>
      <c r="L257" s="22">
        <v>2035</v>
      </c>
      <c r="M257" s="22">
        <v>2036</v>
      </c>
    </row>
    <row r="258">
      <c r="A258" s="4" t="s">
        <v>583</v>
      </c>
      <c r="B258" s="87">
        <v>0</v>
      </c>
      <c r="C258" s="87">
        <v>6176.299999999999</v>
      </c>
      <c r="D258" s="87">
        <v>12690.499999999998</v>
      </c>
      <c r="E258" s="87">
        <v>12690.499999999998</v>
      </c>
      <c r="F258" s="87">
        <v>13271.299999999997</v>
      </c>
      <c r="G258" s="87">
        <v>13271.299999999997</v>
      </c>
      <c r="H258" s="87">
        <v>13912.099999999997</v>
      </c>
      <c r="I258" s="87">
        <v>13912.099999999997</v>
      </c>
      <c r="J258" s="87">
        <v>10508.299999999997</v>
      </c>
      <c r="K258" s="87">
        <v>10508.299999999997</v>
      </c>
      <c r="L258" s="87">
        <v>10508.299999999997</v>
      </c>
      <c r="M258" s="87">
        <v>11082.499999999998</v>
      </c>
    </row>
    <row r="259">
      <c r="A259" s="4" t="s">
        <v>584</v>
      </c>
      <c r="B259" s="87">
        <v>0</v>
      </c>
      <c r="C259" s="87">
        <v>9733.5</v>
      </c>
      <c r="D259" s="87">
        <v>9733.500000000002</v>
      </c>
      <c r="E259" s="87">
        <v>9733.500000000002</v>
      </c>
      <c r="F259" s="87">
        <v>9733.500000000002</v>
      </c>
      <c r="G259" s="87">
        <v>9733.500000000002</v>
      </c>
      <c r="H259" s="87">
        <v>9733.500000000002</v>
      </c>
      <c r="I259" s="87">
        <v>9733.500000000002</v>
      </c>
      <c r="J259" s="87">
        <v>13137.300000000001</v>
      </c>
      <c r="K259" s="87">
        <v>13137.300000000001</v>
      </c>
      <c r="L259" s="87">
        <v>13137.300000000001</v>
      </c>
      <c r="M259" s="87">
        <v>13137.300000000001</v>
      </c>
    </row>
    <row r="260">
      <c r="A260" s="4" t="s">
        <v>331</v>
      </c>
      <c r="B260" s="87">
        <v>24219.8</v>
      </c>
      <c r="C260" s="87">
        <v>8310</v>
      </c>
      <c r="D260" s="87">
        <v>1795.8</v>
      </c>
      <c r="E260" s="87">
        <v>1795.8</v>
      </c>
      <c r="F260" s="87">
        <v>1215</v>
      </c>
      <c r="G260" s="87">
        <v>1215</v>
      </c>
      <c r="H260" s="87">
        <v>574.2</v>
      </c>
      <c r="I260" s="87">
        <v>574.2</v>
      </c>
      <c r="J260" s="87">
        <v>574.2</v>
      </c>
      <c r="K260" s="87">
        <v>574.2</v>
      </c>
      <c r="L260" s="87">
        <v>574.2</v>
      </c>
      <c r="M260" s="87">
        <v>0</v>
      </c>
    </row>
    <row r="261">
      <c r="A261" s="4" t="s">
        <v>88</v>
      </c>
      <c r="B261" s="87">
        <v>4017.2</v>
      </c>
      <c r="C261" s="87">
        <v>0</v>
      </c>
      <c r="D261" s="87">
        <v>0</v>
      </c>
      <c r="E261" s="87">
        <v>0</v>
      </c>
      <c r="F261" s="87">
        <v>0</v>
      </c>
      <c r="G261" s="87">
        <v>0</v>
      </c>
      <c r="H261" s="87">
        <v>0</v>
      </c>
      <c r="I261" s="87">
        <v>0</v>
      </c>
      <c r="J261" s="87">
        <v>0</v>
      </c>
      <c r="K261" s="87">
        <v>0</v>
      </c>
      <c r="L261" s="87">
        <v>0</v>
      </c>
      <c r="M261" s="87">
        <v>0</v>
      </c>
    </row>
    <row r="263">
      <c r="A263" s="22" t="s">
        <v>595</v>
      </c>
      <c r="B263" s="22"/>
      <c r="C263" s="22"/>
      <c r="D263" s="22"/>
      <c r="E263" s="22"/>
      <c r="F263" s="22"/>
      <c r="G263" s="22"/>
      <c r="H263" s="22"/>
      <c r="I263" s="22"/>
      <c r="J263" s="22"/>
      <c r="K263" s="22"/>
      <c r="L263" s="22"/>
      <c r="M263" s="22"/>
    </row>
    <row r="264">
      <c r="B264" s="22">
        <v>2025</v>
      </c>
      <c r="C264" s="22">
        <v>2026</v>
      </c>
      <c r="D264" s="22">
        <v>2027</v>
      </c>
      <c r="E264" s="22">
        <v>2028</v>
      </c>
      <c r="F264" s="22">
        <v>2029</v>
      </c>
      <c r="G264" s="22">
        <v>2030</v>
      </c>
      <c r="H264" s="22">
        <v>2031</v>
      </c>
      <c r="I264" s="22">
        <v>2032</v>
      </c>
      <c r="J264" s="22">
        <v>2033</v>
      </c>
      <c r="K264" s="22">
        <v>2034</v>
      </c>
      <c r="L264" s="22">
        <v>2035</v>
      </c>
      <c r="M264" s="22">
        <v>2036</v>
      </c>
    </row>
    <row r="265">
      <c r="A265" s="4" t="s">
        <v>583</v>
      </c>
      <c r="B265" s="88">
        <f>B258/SUM(B258:B260)</f>
        <v>0</v>
      </c>
      <c r="C265" s="88">
        <f>C258/SUM(C258:C260)</f>
        <v>0.2550103634216632</v>
      </c>
      <c r="D265" s="88">
        <f>D258/SUM(D258:D260)</f>
        <v>0.5239721219828404</v>
      </c>
      <c r="E265" s="88">
        <f>E258/SUM(E258:E260)</f>
        <v>0.5239721219828404</v>
      </c>
      <c r="F265" s="88">
        <f>F258/SUM(F258:F260)</f>
        <v>0.5479525016721855</v>
      </c>
      <c r="G265" s="88">
        <f>G258/SUM(G258:G260)</f>
        <v>0.5479525016721855</v>
      </c>
      <c r="H265" s="88">
        <f>H258/SUM(H258:H260)</f>
        <v>0.5744101933129091</v>
      </c>
      <c r="I265" s="88">
        <f>I258/SUM(I258:I260)</f>
        <v>0.5744101933129091</v>
      </c>
      <c r="J265" s="88">
        <f>J258/SUM(J258:J260)</f>
        <v>0.43387228631119984</v>
      </c>
      <c r="K265" s="88">
        <f>K258/SUM(K258:K260)</f>
        <v>0.43387228631119984</v>
      </c>
      <c r="L265" s="88">
        <f>L258/SUM(L258:L260)</f>
        <v>0.43387228631119984</v>
      </c>
      <c r="M265" s="88">
        <f>M258/SUM(M258:M260)</f>
        <v>0.45758016168589327</v>
      </c>
      <c r="N265" s="81"/>
    </row>
    <row r="266">
      <c r="A266" s="4" t="s">
        <v>584</v>
      </c>
      <c r="B266" s="88">
        <f>B259/SUM(B258:B260)</f>
        <v>0</v>
      </c>
      <c r="C266" s="88">
        <f>C259/SUM(C258:C260)</f>
        <v>0.4018819313123973</v>
      </c>
      <c r="D266" s="88">
        <f>D259/SUM(D258:D260)</f>
        <v>0.40188193131239736</v>
      </c>
      <c r="E266" s="88">
        <f>E259/SUM(E258:E260)</f>
        <v>0.40188193131239736</v>
      </c>
      <c r="F266" s="88">
        <f>F259/SUM(F258:F260)</f>
        <v>0.40188193131239736</v>
      </c>
      <c r="G266" s="88">
        <f>G259/SUM(G258:G260)</f>
        <v>0.40188193131239736</v>
      </c>
      <c r="H266" s="88">
        <f>H259/SUM(H258:H260)</f>
        <v>0.40188193131239736</v>
      </c>
      <c r="I266" s="88">
        <f>I259/SUM(I258:I260)</f>
        <v>0.40188193131239736</v>
      </c>
      <c r="J266" s="88">
        <f>J259/SUM(J258:J260)</f>
        <v>0.5424198383141067</v>
      </c>
      <c r="K266" s="88">
        <f>K259/SUM(K258:K260)</f>
        <v>0.5424198383141067</v>
      </c>
      <c r="L266" s="88">
        <f>L259/SUM(L258:L260)</f>
        <v>0.5424198383141067</v>
      </c>
      <c r="M266" s="88">
        <f>M259/SUM(M258:M260)</f>
        <v>0.5424198383141067</v>
      </c>
      <c r="N266" s="81"/>
    </row>
    <row r="267">
      <c r="A267" s="4" t="s">
        <v>331</v>
      </c>
      <c r="B267" s="88">
        <f>B260/SUM(B258:B260)</f>
        <v>1</v>
      </c>
      <c r="C267" s="88">
        <f>C260/SUM(C258:C260)</f>
        <v>0.3431077052659394</v>
      </c>
      <c r="D267" s="88">
        <f>D260/SUM(D258:D260)</f>
        <v>0.07414594670476223</v>
      </c>
      <c r="E267" s="88">
        <f>E260/SUM(E258:E260)</f>
        <v>0.07414594670476223</v>
      </c>
      <c r="F267" s="88">
        <f>F260/SUM(F258:F260)</f>
        <v>0.05016556701541714</v>
      </c>
      <c r="G267" s="88">
        <f>G260/SUM(G258:G260)</f>
        <v>0.05016556701541714</v>
      </c>
      <c r="H267" s="88">
        <f>H260/SUM(H258:H260)</f>
        <v>0.023707875374693436</v>
      </c>
      <c r="I267" s="88">
        <f>I260/SUM(I258:I260)</f>
        <v>0.023707875374693436</v>
      </c>
      <c r="J267" s="88">
        <f>J260/SUM(J258:J260)</f>
        <v>0.023707875374693436</v>
      </c>
      <c r="K267" s="88">
        <f>K260/SUM(K258:K260)</f>
        <v>0.023707875374693436</v>
      </c>
      <c r="L267" s="88">
        <f>L260/SUM(L258:L260)</f>
        <v>0.023707875374693436</v>
      </c>
      <c r="M267" s="88">
        <f>M260/SUM(M258:M260)</f>
        <v>0</v>
      </c>
      <c r="N267" s="81"/>
    </row>
    <row r="268">
      <c r="A268" s="4" t="s">
        <v>88</v>
      </c>
      <c r="B268" s="88">
        <f>B261/SUM(B258:B260)</f>
        <v>0.16586429285130347</v>
      </c>
      <c r="C268" s="88">
        <f>C261/SUM(C258:C260)</f>
        <v>0</v>
      </c>
      <c r="D268" s="88">
        <f>D261/SUM(D258:D260)</f>
        <v>0</v>
      </c>
      <c r="E268" s="88">
        <f>E261/SUM(E258:E260)</f>
        <v>0</v>
      </c>
      <c r="F268" s="88">
        <f>F261/SUM(F258:F260)</f>
        <v>0</v>
      </c>
      <c r="G268" s="88">
        <f>G261/SUM(G258:G260)</f>
        <v>0</v>
      </c>
      <c r="H268" s="88">
        <f>H261/SUM(H258:H260)</f>
        <v>0</v>
      </c>
      <c r="I268" s="88">
        <f>I261/SUM(I258:I260)</f>
        <v>0</v>
      </c>
      <c r="J268" s="88">
        <f>J261/SUM(J258:J260)</f>
        <v>0</v>
      </c>
      <c r="K268" s="88">
        <f>K261/SUM(K258:K260)</f>
        <v>0</v>
      </c>
      <c r="L268" s="88">
        <f>L261/SUM(L258:L260)</f>
        <v>0</v>
      </c>
      <c r="M268" s="88">
        <f>M261/SUM(M258:M260)</f>
        <v>0</v>
      </c>
      <c r="N268" s="81"/>
    </row>
    <row r="270">
      <c r="A270" s="22" t="s">
        <v>596</v>
      </c>
      <c r="B270" s="22"/>
      <c r="C270" s="22"/>
      <c r="D270" s="22"/>
      <c r="E270" s="22"/>
      <c r="F270" s="22"/>
      <c r="G270" s="22"/>
      <c r="H270" s="22"/>
      <c r="I270" s="22"/>
      <c r="J270" s="22"/>
      <c r="K270" s="22"/>
      <c r="L270" s="22"/>
      <c r="M270" s="22"/>
    </row>
    <row r="271">
      <c r="B271" s="22">
        <v>2025</v>
      </c>
      <c r="C271" s="22">
        <v>2026</v>
      </c>
      <c r="D271" s="22">
        <v>2027</v>
      </c>
      <c r="E271" s="22">
        <v>2028</v>
      </c>
      <c r="F271" s="22">
        <v>2029</v>
      </c>
      <c r="G271" s="22">
        <v>2030</v>
      </c>
      <c r="H271" s="22">
        <v>2031</v>
      </c>
      <c r="I271" s="22">
        <v>2032</v>
      </c>
      <c r="J271" s="22">
        <v>2033</v>
      </c>
      <c r="K271" s="22">
        <v>2034</v>
      </c>
      <c r="L271" s="22">
        <v>2035</v>
      </c>
      <c r="M271" s="22">
        <v>2036</v>
      </c>
    </row>
    <row r="272">
      <c r="A272" s="4" t="s">
        <v>545</v>
      </c>
      <c r="B272" s="3">
        <v>0</v>
      </c>
      <c r="C272" s="3">
        <v>0</v>
      </c>
      <c r="D272" s="3">
        <v>0</v>
      </c>
      <c r="E272" s="3">
        <v>0</v>
      </c>
      <c r="F272" s="3">
        <v>0</v>
      </c>
      <c r="G272" s="3">
        <v>0</v>
      </c>
      <c r="H272" s="3">
        <v>0</v>
      </c>
      <c r="I272" s="3">
        <v>0</v>
      </c>
      <c r="J272" s="3">
        <v>0</v>
      </c>
      <c r="K272" s="3">
        <v>0</v>
      </c>
      <c r="L272" s="3">
        <v>0</v>
      </c>
      <c r="M272" s="3">
        <v>0</v>
      </c>
    </row>
    <row r="273">
      <c r="A273" s="4" t="s">
        <v>546</v>
      </c>
      <c r="B273" s="3">
        <v>0</v>
      </c>
      <c r="C273" s="3">
        <v>0</v>
      </c>
      <c r="D273" s="3">
        <v>0</v>
      </c>
      <c r="E273" s="3">
        <v>0</v>
      </c>
      <c r="F273" s="3">
        <v>0</v>
      </c>
      <c r="G273" s="3">
        <v>0</v>
      </c>
      <c r="H273" s="3">
        <v>0</v>
      </c>
      <c r="I273" s="3">
        <v>0</v>
      </c>
      <c r="J273" s="3">
        <v>0</v>
      </c>
      <c r="K273" s="3">
        <v>0</v>
      </c>
      <c r="L273" s="3">
        <v>0</v>
      </c>
      <c r="M273" s="3">
        <v>0</v>
      </c>
    </row>
    <row r="274">
      <c r="A274" s="4" t="s">
        <v>547</v>
      </c>
      <c r="B274" s="3">
        <v>0</v>
      </c>
      <c r="C274" s="3">
        <v>0</v>
      </c>
      <c r="D274" s="3">
        <v>0</v>
      </c>
      <c r="E274" s="3">
        <v>0</v>
      </c>
      <c r="F274" s="3">
        <v>0</v>
      </c>
      <c r="G274" s="3">
        <v>0</v>
      </c>
      <c r="H274" s="3">
        <v>0</v>
      </c>
      <c r="I274" s="3">
        <v>0</v>
      </c>
      <c r="J274" s="3">
        <v>0</v>
      </c>
      <c r="K274" s="3">
        <v>0</v>
      </c>
      <c r="L274" s="3">
        <v>0</v>
      </c>
      <c r="M274" s="3">
        <v>0</v>
      </c>
    </row>
    <row r="275">
      <c r="A275" s="4" t="s">
        <v>548</v>
      </c>
      <c r="B275" s="3">
        <v>0</v>
      </c>
      <c r="C275" s="3">
        <v>0</v>
      </c>
      <c r="D275" s="3">
        <v>0</v>
      </c>
      <c r="E275" s="3">
        <v>0</v>
      </c>
      <c r="F275" s="3">
        <v>0</v>
      </c>
      <c r="G275" s="3">
        <v>0</v>
      </c>
      <c r="H275" s="3">
        <v>0</v>
      </c>
      <c r="I275" s="3">
        <v>0</v>
      </c>
      <c r="J275" s="3">
        <v>0</v>
      </c>
      <c r="K275" s="3">
        <v>0</v>
      </c>
      <c r="L275" s="3">
        <v>0</v>
      </c>
      <c r="M275" s="3">
        <v>0</v>
      </c>
    </row>
    <row r="276">
      <c r="A276" s="4" t="s">
        <v>549</v>
      </c>
      <c r="B276" s="3">
        <v>24219.8</v>
      </c>
      <c r="C276" s="3">
        <v>8310</v>
      </c>
      <c r="D276" s="3">
        <v>1795.8</v>
      </c>
      <c r="E276" s="3">
        <v>1795.8</v>
      </c>
      <c r="F276" s="3">
        <v>1215</v>
      </c>
      <c r="G276" s="3">
        <v>1215</v>
      </c>
      <c r="H276" s="3">
        <v>574.2</v>
      </c>
      <c r="I276" s="3">
        <v>574.2</v>
      </c>
      <c r="J276" s="3">
        <v>574.2</v>
      </c>
      <c r="K276" s="3">
        <v>574.2</v>
      </c>
      <c r="L276" s="3">
        <v>574.2</v>
      </c>
      <c r="M276" s="3">
        <v>0</v>
      </c>
    </row>
    <row r="277">
      <c r="A277" s="4" t="s">
        <v>577</v>
      </c>
      <c r="B277" s="3">
        <v>0</v>
      </c>
      <c r="C277" s="3">
        <v>0</v>
      </c>
      <c r="D277" s="3">
        <v>0</v>
      </c>
      <c r="E277" s="3">
        <v>0</v>
      </c>
      <c r="F277" s="3">
        <v>0</v>
      </c>
      <c r="G277" s="3">
        <v>0</v>
      </c>
      <c r="H277" s="3">
        <v>0</v>
      </c>
      <c r="I277" s="3">
        <v>0</v>
      </c>
      <c r="J277" s="3">
        <v>0</v>
      </c>
      <c r="K277" s="3">
        <v>0</v>
      </c>
      <c r="L277" s="3">
        <v>0</v>
      </c>
      <c r="M277" s="3">
        <v>0</v>
      </c>
    </row>
    <row r="278">
      <c r="A278" s="4" t="s">
        <v>578</v>
      </c>
      <c r="B278" s="3">
        <v>0</v>
      </c>
      <c r="C278" s="3">
        <v>0</v>
      </c>
      <c r="D278" s="3">
        <v>0</v>
      </c>
      <c r="E278" s="3">
        <v>0</v>
      </c>
      <c r="F278" s="3">
        <v>0</v>
      </c>
      <c r="G278" s="3">
        <v>0</v>
      </c>
      <c r="H278" s="3">
        <v>0</v>
      </c>
      <c r="I278" s="3">
        <v>0</v>
      </c>
      <c r="J278" s="3">
        <v>0</v>
      </c>
      <c r="K278" s="3">
        <v>0</v>
      </c>
      <c r="L278" s="3">
        <v>0</v>
      </c>
      <c r="M278" s="3">
        <v>0</v>
      </c>
    </row>
    <row r="279">
      <c r="A279" s="4" t="s">
        <v>579</v>
      </c>
      <c r="B279" s="3">
        <v>0</v>
      </c>
      <c r="C279" s="3">
        <v>0</v>
      </c>
      <c r="D279" s="3">
        <v>0</v>
      </c>
      <c r="E279" s="3">
        <v>0</v>
      </c>
      <c r="F279" s="3">
        <v>0</v>
      </c>
      <c r="G279" s="3">
        <v>0</v>
      </c>
      <c r="H279" s="3">
        <v>0</v>
      </c>
      <c r="I279" s="3">
        <v>0</v>
      </c>
      <c r="J279" s="3">
        <v>0</v>
      </c>
      <c r="K279" s="3">
        <v>0</v>
      </c>
      <c r="L279" s="3">
        <v>0</v>
      </c>
      <c r="M279" s="3">
        <v>0</v>
      </c>
    </row>
    <row r="280">
      <c r="A280" s="4" t="s">
        <v>580</v>
      </c>
      <c r="B280" s="3">
        <v>0</v>
      </c>
      <c r="C280" s="3">
        <v>0</v>
      </c>
      <c r="D280" s="3">
        <v>0</v>
      </c>
      <c r="E280" s="3">
        <v>0</v>
      </c>
      <c r="F280" s="3">
        <v>0</v>
      </c>
      <c r="G280" s="3">
        <v>0</v>
      </c>
      <c r="H280" s="3">
        <v>0</v>
      </c>
      <c r="I280" s="3">
        <v>0</v>
      </c>
      <c r="J280" s="3">
        <v>0</v>
      </c>
      <c r="K280" s="3">
        <v>0</v>
      </c>
      <c r="L280" s="3">
        <v>0</v>
      </c>
      <c r="M280" s="3">
        <v>0</v>
      </c>
    </row>
    <row r="282">
      <c r="A282" s="22" t="s">
        <v>597</v>
      </c>
      <c r="B282" s="22"/>
      <c r="C282" s="22"/>
      <c r="D282" s="22"/>
      <c r="E282" s="22"/>
      <c r="F282" s="22"/>
      <c r="G282" s="22"/>
      <c r="H282" s="22"/>
      <c r="I282" s="22"/>
      <c r="J282" s="22"/>
      <c r="K282" s="22"/>
      <c r="L282" s="22"/>
      <c r="M282" s="22"/>
    </row>
    <row r="283">
      <c r="B283" s="22">
        <v>2025</v>
      </c>
      <c r="C283" s="22">
        <v>2026</v>
      </c>
      <c r="D283" s="22">
        <v>2027</v>
      </c>
      <c r="E283" s="22">
        <v>2028</v>
      </c>
      <c r="F283" s="22">
        <v>2029</v>
      </c>
      <c r="G283" s="22">
        <v>2030</v>
      </c>
      <c r="H283" s="22">
        <v>2031</v>
      </c>
      <c r="I283" s="22">
        <v>2032</v>
      </c>
      <c r="J283" s="22">
        <v>2033</v>
      </c>
      <c r="K283" s="22">
        <v>2034</v>
      </c>
      <c r="L283" s="22">
        <v>2035</v>
      </c>
      <c r="M283" s="22">
        <v>2036</v>
      </c>
    </row>
    <row r="284">
      <c r="A284" s="4" t="s">
        <v>545</v>
      </c>
      <c r="B284" s="3">
        <v>0</v>
      </c>
      <c r="C284" s="3">
        <v>0</v>
      </c>
      <c r="D284" s="3">
        <v>0</v>
      </c>
      <c r="E284" s="3">
        <v>0</v>
      </c>
      <c r="F284" s="3">
        <v>0</v>
      </c>
      <c r="G284" s="3">
        <v>0</v>
      </c>
      <c r="H284" s="3">
        <v>0</v>
      </c>
      <c r="I284" s="3">
        <v>0</v>
      </c>
      <c r="J284" s="3">
        <v>0</v>
      </c>
      <c r="K284" s="3">
        <v>0</v>
      </c>
      <c r="L284" s="3">
        <v>0</v>
      </c>
      <c r="M284" s="3">
        <v>0</v>
      </c>
    </row>
    <row r="285">
      <c r="A285" s="4" t="s">
        <v>546</v>
      </c>
      <c r="B285" s="3">
        <v>0</v>
      </c>
      <c r="C285" s="3">
        <v>0</v>
      </c>
      <c r="D285" s="3">
        <v>0</v>
      </c>
      <c r="E285" s="3">
        <v>0</v>
      </c>
      <c r="F285" s="3">
        <v>0</v>
      </c>
      <c r="G285" s="3">
        <v>0</v>
      </c>
      <c r="H285" s="3">
        <v>0</v>
      </c>
      <c r="I285" s="3">
        <v>0</v>
      </c>
      <c r="J285" s="3">
        <v>0</v>
      </c>
      <c r="K285" s="3">
        <v>0</v>
      </c>
      <c r="L285" s="3">
        <v>0</v>
      </c>
      <c r="M285" s="3">
        <v>0</v>
      </c>
    </row>
    <row r="286">
      <c r="A286" s="4" t="s">
        <v>547</v>
      </c>
      <c r="B286" s="3">
        <v>0</v>
      </c>
      <c r="C286" s="3">
        <v>0</v>
      </c>
      <c r="D286" s="3">
        <v>0</v>
      </c>
      <c r="E286" s="3">
        <v>0</v>
      </c>
      <c r="F286" s="3">
        <v>0</v>
      </c>
      <c r="G286" s="3">
        <v>0</v>
      </c>
      <c r="H286" s="3">
        <v>0</v>
      </c>
      <c r="I286" s="3">
        <v>0</v>
      </c>
      <c r="J286" s="3">
        <v>0</v>
      </c>
      <c r="K286" s="3">
        <v>0</v>
      </c>
      <c r="L286" s="3">
        <v>0</v>
      </c>
      <c r="M286" s="3">
        <v>0</v>
      </c>
    </row>
    <row r="287">
      <c r="A287" s="4" t="s">
        <v>548</v>
      </c>
      <c r="B287" s="3">
        <v>0</v>
      </c>
      <c r="C287" s="3">
        <v>0</v>
      </c>
      <c r="D287" s="3">
        <v>0</v>
      </c>
      <c r="E287" s="3">
        <v>0</v>
      </c>
      <c r="F287" s="3">
        <v>0</v>
      </c>
      <c r="G287" s="3">
        <v>0</v>
      </c>
      <c r="H287" s="3">
        <v>0</v>
      </c>
      <c r="I287" s="3">
        <v>0</v>
      </c>
      <c r="J287" s="3">
        <v>0</v>
      </c>
      <c r="K287" s="3">
        <v>0</v>
      </c>
      <c r="L287" s="3">
        <v>0</v>
      </c>
      <c r="M287" s="3">
        <v>0</v>
      </c>
    </row>
    <row r="288">
      <c r="A288" s="4" t="s">
        <v>549</v>
      </c>
      <c r="B288" s="3">
        <v>2</v>
      </c>
      <c r="C288" s="3">
        <v>0</v>
      </c>
      <c r="D288" s="3">
        <v>0</v>
      </c>
      <c r="E288" s="3">
        <v>0</v>
      </c>
      <c r="F288" s="3">
        <v>0</v>
      </c>
      <c r="G288" s="3">
        <v>0</v>
      </c>
      <c r="H288" s="3">
        <v>0</v>
      </c>
      <c r="I288" s="3">
        <v>0</v>
      </c>
      <c r="J288" s="3">
        <v>0</v>
      </c>
      <c r="K288" s="3">
        <v>0</v>
      </c>
      <c r="L288" s="3">
        <v>0</v>
      </c>
      <c r="M288" s="3">
        <v>0</v>
      </c>
    </row>
    <row r="289">
      <c r="A289" s="4" t="s">
        <v>577</v>
      </c>
      <c r="B289" s="3">
        <v>0</v>
      </c>
      <c r="C289" s="3">
        <v>0</v>
      </c>
      <c r="D289" s="3">
        <v>0</v>
      </c>
      <c r="E289" s="3">
        <v>0</v>
      </c>
      <c r="F289" s="3">
        <v>0</v>
      </c>
      <c r="G289" s="3">
        <v>0</v>
      </c>
      <c r="H289" s="3">
        <v>0</v>
      </c>
      <c r="I289" s="3">
        <v>0</v>
      </c>
      <c r="J289" s="3">
        <v>0</v>
      </c>
      <c r="K289" s="3">
        <v>0</v>
      </c>
      <c r="L289" s="3">
        <v>0</v>
      </c>
      <c r="M289" s="3">
        <v>0</v>
      </c>
    </row>
    <row r="290">
      <c r="A290" s="4" t="s">
        <v>578</v>
      </c>
      <c r="B290" s="3">
        <v>0</v>
      </c>
      <c r="C290" s="3">
        <v>0</v>
      </c>
      <c r="D290" s="3">
        <v>0</v>
      </c>
      <c r="E290" s="3">
        <v>0</v>
      </c>
      <c r="F290" s="3">
        <v>0</v>
      </c>
      <c r="G290" s="3">
        <v>0</v>
      </c>
      <c r="H290" s="3">
        <v>0</v>
      </c>
      <c r="I290" s="3">
        <v>0</v>
      </c>
      <c r="J290" s="3">
        <v>0</v>
      </c>
      <c r="K290" s="3">
        <v>0</v>
      </c>
      <c r="L290" s="3">
        <v>0</v>
      </c>
      <c r="M290" s="3">
        <v>0</v>
      </c>
    </row>
    <row r="291">
      <c r="A291" s="4" t="s">
        <v>579</v>
      </c>
      <c r="B291" s="3">
        <v>0</v>
      </c>
      <c r="C291" s="3">
        <v>0</v>
      </c>
      <c r="D291" s="3">
        <v>0</v>
      </c>
      <c r="E291" s="3">
        <v>0</v>
      </c>
      <c r="F291" s="3">
        <v>0</v>
      </c>
      <c r="G291" s="3">
        <v>0</v>
      </c>
      <c r="H291" s="3">
        <v>0</v>
      </c>
      <c r="I291" s="3">
        <v>0</v>
      </c>
      <c r="J291" s="3">
        <v>0</v>
      </c>
      <c r="K291" s="3">
        <v>0</v>
      </c>
      <c r="L291" s="3">
        <v>0</v>
      </c>
      <c r="M291" s="3">
        <v>0</v>
      </c>
    </row>
    <row r="292">
      <c r="A292" s="4" t="s">
        <v>580</v>
      </c>
      <c r="B292" s="3">
        <v>0</v>
      </c>
      <c r="C292" s="3">
        <v>0</v>
      </c>
      <c r="D292" s="3">
        <v>0</v>
      </c>
      <c r="E292" s="3">
        <v>0</v>
      </c>
      <c r="F292" s="3">
        <v>0</v>
      </c>
      <c r="G292" s="3">
        <v>0</v>
      </c>
      <c r="H292" s="3">
        <v>0</v>
      </c>
      <c r="I292" s="3">
        <v>0</v>
      </c>
      <c r="J292" s="3">
        <v>0</v>
      </c>
      <c r="K292" s="3">
        <v>0</v>
      </c>
      <c r="L292" s="3">
        <v>0</v>
      </c>
      <c r="M292" s="3">
        <v>0</v>
      </c>
    </row>
    <row r="294">
      <c r="A294" s="22" t="s">
        <v>598</v>
      </c>
      <c r="B294" s="22"/>
      <c r="C294" s="22"/>
      <c r="D294" s="22"/>
      <c r="E294" s="22"/>
      <c r="F294" s="22"/>
      <c r="G294" s="22"/>
      <c r="H294" s="22"/>
      <c r="I294" s="22"/>
      <c r="J294" s="22"/>
      <c r="K294" s="22"/>
      <c r="L294" s="22"/>
      <c r="M294" s="22"/>
    </row>
    <row r="295">
      <c r="B295" s="22">
        <v>2025</v>
      </c>
      <c r="C295" s="22">
        <v>2026</v>
      </c>
      <c r="D295" s="22">
        <v>2027</v>
      </c>
      <c r="E295" s="22">
        <v>2028</v>
      </c>
      <c r="F295" s="22">
        <v>2029</v>
      </c>
      <c r="G295" s="22">
        <v>2030</v>
      </c>
      <c r="H295" s="22">
        <v>2031</v>
      </c>
      <c r="I295" s="22">
        <v>2032</v>
      </c>
      <c r="J295" s="22">
        <v>2033</v>
      </c>
      <c r="K295" s="22">
        <v>2034</v>
      </c>
      <c r="L295" s="22">
        <v>2035</v>
      </c>
      <c r="M295" s="22">
        <v>2036</v>
      </c>
    </row>
    <row r="296">
      <c r="A296" s="4" t="s">
        <v>545</v>
      </c>
      <c r="B296" s="3">
        <v>0</v>
      </c>
      <c r="C296" s="3">
        <v>0</v>
      </c>
      <c r="D296" s="3">
        <v>0</v>
      </c>
      <c r="E296" s="3">
        <v>0</v>
      </c>
      <c r="F296" s="3">
        <v>0</v>
      </c>
      <c r="G296" s="3">
        <v>0</v>
      </c>
      <c r="H296" s="3">
        <v>0</v>
      </c>
      <c r="I296" s="3">
        <v>0</v>
      </c>
      <c r="J296" s="3">
        <v>0</v>
      </c>
      <c r="K296" s="3">
        <v>0</v>
      </c>
      <c r="L296" s="3">
        <v>0</v>
      </c>
      <c r="M296" s="3">
        <v>0</v>
      </c>
    </row>
    <row r="297">
      <c r="A297" s="4" t="s">
        <v>546</v>
      </c>
      <c r="B297" s="3">
        <v>0</v>
      </c>
      <c r="C297" s="3">
        <v>0</v>
      </c>
      <c r="D297" s="3">
        <v>0</v>
      </c>
      <c r="E297" s="3">
        <v>0</v>
      </c>
      <c r="F297" s="3">
        <v>0</v>
      </c>
      <c r="G297" s="3">
        <v>0</v>
      </c>
      <c r="H297" s="3">
        <v>0</v>
      </c>
      <c r="I297" s="3">
        <v>0</v>
      </c>
      <c r="J297" s="3">
        <v>0</v>
      </c>
      <c r="K297" s="3">
        <v>0</v>
      </c>
      <c r="L297" s="3">
        <v>0</v>
      </c>
      <c r="M297" s="3">
        <v>0</v>
      </c>
    </row>
    <row r="298">
      <c r="A298" s="4" t="s">
        <v>547</v>
      </c>
      <c r="B298" s="3">
        <v>0</v>
      </c>
      <c r="C298" s="3">
        <v>0</v>
      </c>
      <c r="D298" s="3">
        <v>0</v>
      </c>
      <c r="E298" s="3">
        <v>0</v>
      </c>
      <c r="F298" s="3">
        <v>0</v>
      </c>
      <c r="G298" s="3">
        <v>0</v>
      </c>
      <c r="H298" s="3">
        <v>0</v>
      </c>
      <c r="I298" s="3">
        <v>0</v>
      </c>
      <c r="J298" s="3">
        <v>0</v>
      </c>
      <c r="K298" s="3">
        <v>0</v>
      </c>
      <c r="L298" s="3">
        <v>0</v>
      </c>
      <c r="M298" s="3">
        <v>0</v>
      </c>
    </row>
    <row r="299">
      <c r="A299" s="4" t="s">
        <v>548</v>
      </c>
      <c r="B299" s="3">
        <v>0</v>
      </c>
      <c r="C299" s="3">
        <v>0</v>
      </c>
      <c r="D299" s="3">
        <v>0</v>
      </c>
      <c r="E299" s="3">
        <v>0</v>
      </c>
      <c r="F299" s="3">
        <v>0</v>
      </c>
      <c r="G299" s="3">
        <v>0</v>
      </c>
      <c r="H299" s="3">
        <v>0</v>
      </c>
      <c r="I299" s="3">
        <v>0</v>
      </c>
      <c r="J299" s="3">
        <v>0</v>
      </c>
      <c r="K299" s="3">
        <v>0</v>
      </c>
      <c r="L299" s="3">
        <v>0</v>
      </c>
      <c r="M299" s="3">
        <v>0</v>
      </c>
    </row>
    <row r="300">
      <c r="A300" s="4" t="s">
        <v>549</v>
      </c>
      <c r="B300" s="3">
        <v>1603.8</v>
      </c>
      <c r="C300" s="3">
        <v>0</v>
      </c>
      <c r="D300" s="3">
        <v>0</v>
      </c>
      <c r="E300" s="3">
        <v>0</v>
      </c>
      <c r="F300" s="3">
        <v>0</v>
      </c>
      <c r="G300" s="3">
        <v>0</v>
      </c>
      <c r="H300" s="3">
        <v>0</v>
      </c>
      <c r="I300" s="3">
        <v>0</v>
      </c>
      <c r="J300" s="3">
        <v>0</v>
      </c>
      <c r="K300" s="3">
        <v>0</v>
      </c>
      <c r="L300" s="3">
        <v>0</v>
      </c>
      <c r="M300" s="3">
        <v>0</v>
      </c>
    </row>
    <row r="301">
      <c r="A301" s="4" t="s">
        <v>577</v>
      </c>
      <c r="B301" s="3">
        <v>0</v>
      </c>
      <c r="C301" s="3">
        <v>0</v>
      </c>
      <c r="D301" s="3">
        <v>0</v>
      </c>
      <c r="E301" s="3">
        <v>0</v>
      </c>
      <c r="F301" s="3">
        <v>0</v>
      </c>
      <c r="G301" s="3">
        <v>0</v>
      </c>
      <c r="H301" s="3">
        <v>0</v>
      </c>
      <c r="I301" s="3">
        <v>0</v>
      </c>
      <c r="J301" s="3">
        <v>0</v>
      </c>
      <c r="K301" s="3">
        <v>0</v>
      </c>
      <c r="L301" s="3">
        <v>0</v>
      </c>
      <c r="M301" s="3">
        <v>0</v>
      </c>
    </row>
    <row r="302">
      <c r="A302" s="4" t="s">
        <v>578</v>
      </c>
      <c r="B302" s="3">
        <v>0</v>
      </c>
      <c r="C302" s="3">
        <v>0</v>
      </c>
      <c r="D302" s="3">
        <v>0</v>
      </c>
      <c r="E302" s="3">
        <v>0</v>
      </c>
      <c r="F302" s="3">
        <v>0</v>
      </c>
      <c r="G302" s="3">
        <v>0</v>
      </c>
      <c r="H302" s="3">
        <v>0</v>
      </c>
      <c r="I302" s="3">
        <v>0</v>
      </c>
      <c r="J302" s="3">
        <v>0</v>
      </c>
      <c r="K302" s="3">
        <v>0</v>
      </c>
      <c r="L302" s="3">
        <v>0</v>
      </c>
      <c r="M302" s="3">
        <v>0</v>
      </c>
    </row>
    <row r="303">
      <c r="A303" s="4" t="s">
        <v>579</v>
      </c>
      <c r="B303" s="3">
        <v>0</v>
      </c>
      <c r="C303" s="3">
        <v>0</v>
      </c>
      <c r="D303" s="3">
        <v>0</v>
      </c>
      <c r="E303" s="3">
        <v>0</v>
      </c>
      <c r="F303" s="3">
        <v>0</v>
      </c>
      <c r="G303" s="3">
        <v>0</v>
      </c>
      <c r="H303" s="3">
        <v>0</v>
      </c>
      <c r="I303" s="3">
        <v>0</v>
      </c>
      <c r="J303" s="3">
        <v>0</v>
      </c>
      <c r="K303" s="3">
        <v>0</v>
      </c>
      <c r="L303" s="3">
        <v>0</v>
      </c>
      <c r="M303" s="3">
        <v>0</v>
      </c>
    </row>
    <row r="304">
      <c r="A304" s="4" t="s">
        <v>580</v>
      </c>
      <c r="B304" s="3">
        <v>0</v>
      </c>
      <c r="C304" s="3">
        <v>0</v>
      </c>
      <c r="D304" s="3">
        <v>0</v>
      </c>
      <c r="E304" s="3">
        <v>0</v>
      </c>
      <c r="F304" s="3">
        <v>0</v>
      </c>
      <c r="G304" s="3">
        <v>0</v>
      </c>
      <c r="H304" s="3">
        <v>0</v>
      </c>
      <c r="I304" s="3">
        <v>0</v>
      </c>
      <c r="J304" s="3">
        <v>0</v>
      </c>
      <c r="K304" s="3">
        <v>0</v>
      </c>
      <c r="L304" s="3">
        <v>0</v>
      </c>
      <c r="M304" s="3">
        <v>0</v>
      </c>
    </row>
    <row r="306">
      <c r="A306" s="22" t="s">
        <v>599</v>
      </c>
      <c r="B306" s="22"/>
      <c r="C306" s="22"/>
      <c r="D306" s="22"/>
      <c r="E306" s="22"/>
      <c r="F306" s="22"/>
      <c r="G306" s="22"/>
      <c r="H306" s="22"/>
      <c r="I306" s="22"/>
      <c r="J306" s="22"/>
      <c r="K306" s="22"/>
      <c r="L306" s="22"/>
      <c r="M306" s="22"/>
    </row>
    <row r="307">
      <c r="B307" s="22">
        <v>2025</v>
      </c>
      <c r="C307" s="22">
        <v>2026</v>
      </c>
      <c r="D307" s="22">
        <v>2027</v>
      </c>
      <c r="E307" s="22">
        <v>2028</v>
      </c>
      <c r="F307" s="22">
        <v>2029</v>
      </c>
      <c r="G307" s="22">
        <v>2030</v>
      </c>
      <c r="H307" s="22">
        <v>2031</v>
      </c>
      <c r="I307" s="22">
        <v>2032</v>
      </c>
      <c r="J307" s="22">
        <v>2033</v>
      </c>
      <c r="K307" s="22">
        <v>2034</v>
      </c>
      <c r="L307" s="22">
        <v>2035</v>
      </c>
      <c r="M307" s="22">
        <v>2036</v>
      </c>
    </row>
    <row r="308">
      <c r="A308" s="4" t="s">
        <v>545</v>
      </c>
      <c r="B308" s="3">
        <v>0</v>
      </c>
      <c r="C308" s="3">
        <v>0</v>
      </c>
      <c r="D308" s="3">
        <v>0</v>
      </c>
      <c r="E308" s="3">
        <v>0</v>
      </c>
      <c r="F308" s="3">
        <v>0</v>
      </c>
      <c r="G308" s="3">
        <v>0</v>
      </c>
      <c r="H308" s="3">
        <v>0</v>
      </c>
      <c r="I308" s="3">
        <v>0</v>
      </c>
      <c r="J308" s="3">
        <v>0</v>
      </c>
      <c r="K308" s="3">
        <v>0</v>
      </c>
      <c r="L308" s="3">
        <v>0</v>
      </c>
      <c r="M308" s="3">
        <v>0</v>
      </c>
    </row>
    <row r="309">
      <c r="A309" s="4" t="s">
        <v>546</v>
      </c>
      <c r="B309" s="3">
        <v>0</v>
      </c>
      <c r="C309" s="3">
        <v>0</v>
      </c>
      <c r="D309" s="3">
        <v>0</v>
      </c>
      <c r="E309" s="3">
        <v>0</v>
      </c>
      <c r="F309" s="3">
        <v>0</v>
      </c>
      <c r="G309" s="3">
        <v>0</v>
      </c>
      <c r="H309" s="3">
        <v>0</v>
      </c>
      <c r="I309" s="3">
        <v>0</v>
      </c>
      <c r="J309" s="3">
        <v>0</v>
      </c>
      <c r="K309" s="3">
        <v>0</v>
      </c>
      <c r="L309" s="3">
        <v>0</v>
      </c>
      <c r="M309" s="3">
        <v>0</v>
      </c>
    </row>
    <row r="310">
      <c r="A310" s="4" t="s">
        <v>547</v>
      </c>
      <c r="B310" s="3">
        <v>0</v>
      </c>
      <c r="C310" s="3">
        <v>0</v>
      </c>
      <c r="D310" s="3">
        <v>0</v>
      </c>
      <c r="E310" s="3">
        <v>0</v>
      </c>
      <c r="F310" s="3">
        <v>0</v>
      </c>
      <c r="G310" s="3">
        <v>0</v>
      </c>
      <c r="H310" s="3">
        <v>0</v>
      </c>
      <c r="I310" s="3">
        <v>0</v>
      </c>
      <c r="J310" s="3">
        <v>0</v>
      </c>
      <c r="K310" s="3">
        <v>0</v>
      </c>
      <c r="L310" s="3">
        <v>0</v>
      </c>
      <c r="M310" s="3">
        <v>0</v>
      </c>
    </row>
    <row r="311">
      <c r="A311" s="4" t="s">
        <v>548</v>
      </c>
      <c r="B311" s="3">
        <v>0</v>
      </c>
      <c r="C311" s="3">
        <v>0</v>
      </c>
      <c r="D311" s="3">
        <v>0</v>
      </c>
      <c r="E311" s="3">
        <v>0</v>
      </c>
      <c r="F311" s="3">
        <v>0</v>
      </c>
      <c r="G311" s="3">
        <v>0</v>
      </c>
      <c r="H311" s="3">
        <v>0</v>
      </c>
      <c r="I311" s="3">
        <v>0</v>
      </c>
      <c r="J311" s="3">
        <v>0</v>
      </c>
      <c r="K311" s="3">
        <v>0</v>
      </c>
      <c r="L311" s="3">
        <v>0</v>
      </c>
      <c r="M311" s="3">
        <v>0</v>
      </c>
    </row>
    <row r="312">
      <c r="A312" s="4" t="s">
        <v>549</v>
      </c>
      <c r="B312" s="3">
        <v>3</v>
      </c>
      <c r="C312" s="3">
        <v>0</v>
      </c>
      <c r="D312" s="3">
        <v>0</v>
      </c>
      <c r="E312" s="3">
        <v>0</v>
      </c>
      <c r="F312" s="3">
        <v>0</v>
      </c>
      <c r="G312" s="3">
        <v>0</v>
      </c>
      <c r="H312" s="3">
        <v>0</v>
      </c>
      <c r="I312" s="3">
        <v>0</v>
      </c>
      <c r="J312" s="3">
        <v>0</v>
      </c>
      <c r="K312" s="3">
        <v>0</v>
      </c>
      <c r="L312" s="3">
        <v>0</v>
      </c>
      <c r="M312" s="3">
        <v>0</v>
      </c>
    </row>
    <row r="313">
      <c r="A313" s="4" t="s">
        <v>577</v>
      </c>
      <c r="B313" s="3">
        <v>0</v>
      </c>
      <c r="C313" s="3">
        <v>0</v>
      </c>
      <c r="D313" s="3">
        <v>0</v>
      </c>
      <c r="E313" s="3">
        <v>0</v>
      </c>
      <c r="F313" s="3">
        <v>0</v>
      </c>
      <c r="G313" s="3">
        <v>0</v>
      </c>
      <c r="H313" s="3">
        <v>0</v>
      </c>
      <c r="I313" s="3">
        <v>0</v>
      </c>
      <c r="J313" s="3">
        <v>0</v>
      </c>
      <c r="K313" s="3">
        <v>0</v>
      </c>
      <c r="L313" s="3">
        <v>0</v>
      </c>
      <c r="M313" s="3">
        <v>0</v>
      </c>
    </row>
    <row r="314">
      <c r="A314" s="4" t="s">
        <v>578</v>
      </c>
      <c r="B314" s="3">
        <v>0</v>
      </c>
      <c r="C314" s="3">
        <v>0</v>
      </c>
      <c r="D314" s="3">
        <v>0</v>
      </c>
      <c r="E314" s="3">
        <v>0</v>
      </c>
      <c r="F314" s="3">
        <v>0</v>
      </c>
      <c r="G314" s="3">
        <v>0</v>
      </c>
      <c r="H314" s="3">
        <v>0</v>
      </c>
      <c r="I314" s="3">
        <v>0</v>
      </c>
      <c r="J314" s="3">
        <v>0</v>
      </c>
      <c r="K314" s="3">
        <v>0</v>
      </c>
      <c r="L314" s="3">
        <v>0</v>
      </c>
      <c r="M314" s="3">
        <v>0</v>
      </c>
    </row>
    <row r="315">
      <c r="A315" s="4" t="s">
        <v>579</v>
      </c>
      <c r="B315" s="3">
        <v>0</v>
      </c>
      <c r="C315" s="3">
        <v>0</v>
      </c>
      <c r="D315" s="3">
        <v>0</v>
      </c>
      <c r="E315" s="3">
        <v>0</v>
      </c>
      <c r="F315" s="3">
        <v>0</v>
      </c>
      <c r="G315" s="3">
        <v>0</v>
      </c>
      <c r="H315" s="3">
        <v>0</v>
      </c>
      <c r="I315" s="3">
        <v>0</v>
      </c>
      <c r="J315" s="3">
        <v>0</v>
      </c>
      <c r="K315" s="3">
        <v>0</v>
      </c>
      <c r="L315" s="3">
        <v>0</v>
      </c>
      <c r="M315" s="3">
        <v>0</v>
      </c>
    </row>
    <row r="316">
      <c r="A316" s="4" t="s">
        <v>580</v>
      </c>
      <c r="B316" s="3">
        <v>0</v>
      </c>
      <c r="C316" s="3">
        <v>0</v>
      </c>
      <c r="D316" s="3">
        <v>0</v>
      </c>
      <c r="E316" s="3">
        <v>0</v>
      </c>
      <c r="F316" s="3">
        <v>0</v>
      </c>
      <c r="G316" s="3">
        <v>0</v>
      </c>
      <c r="H316" s="3">
        <v>0</v>
      </c>
      <c r="I316" s="3">
        <v>0</v>
      </c>
      <c r="J316" s="3">
        <v>0</v>
      </c>
      <c r="K316" s="3">
        <v>0</v>
      </c>
      <c r="L316" s="3">
        <v>0</v>
      </c>
      <c r="M316" s="3">
        <v>0</v>
      </c>
    </row>
    <row r="318">
      <c r="A318" s="22" t="s">
        <v>600</v>
      </c>
      <c r="B318" s="22"/>
      <c r="C318" s="22"/>
      <c r="D318" s="22"/>
      <c r="E318" s="22"/>
      <c r="F318" s="22"/>
      <c r="G318" s="22"/>
      <c r="H318" s="22"/>
      <c r="I318" s="22"/>
      <c r="J318" s="22"/>
      <c r="K318" s="22"/>
      <c r="L318" s="22"/>
      <c r="M318" s="22"/>
    </row>
    <row r="319">
      <c r="B319" s="22">
        <v>2025</v>
      </c>
      <c r="C319" s="22">
        <v>2026</v>
      </c>
      <c r="D319" s="22">
        <v>2027</v>
      </c>
      <c r="E319" s="22">
        <v>2028</v>
      </c>
      <c r="F319" s="22">
        <v>2029</v>
      </c>
      <c r="G319" s="22">
        <v>2030</v>
      </c>
      <c r="H319" s="22">
        <v>2031</v>
      </c>
      <c r="I319" s="22">
        <v>2032</v>
      </c>
      <c r="J319" s="22">
        <v>2033</v>
      </c>
      <c r="K319" s="22">
        <v>2034</v>
      </c>
      <c r="L319" s="22">
        <v>2035</v>
      </c>
      <c r="M319" s="22">
        <v>2036</v>
      </c>
    </row>
    <row r="320">
      <c r="A320" s="4" t="s">
        <v>545</v>
      </c>
      <c r="B320" s="3">
        <v>0</v>
      </c>
      <c r="C320" s="3">
        <v>0</v>
      </c>
      <c r="D320" s="3">
        <v>0</v>
      </c>
      <c r="E320" s="3">
        <v>0</v>
      </c>
      <c r="F320" s="3">
        <v>0</v>
      </c>
      <c r="G320" s="3">
        <v>0</v>
      </c>
      <c r="H320" s="3">
        <v>0</v>
      </c>
      <c r="I320" s="3">
        <v>0</v>
      </c>
      <c r="J320" s="3">
        <v>0</v>
      </c>
      <c r="K320" s="3">
        <v>0</v>
      </c>
      <c r="L320" s="3">
        <v>0</v>
      </c>
      <c r="M320" s="3">
        <v>0</v>
      </c>
    </row>
    <row r="321">
      <c r="A321" s="4" t="s">
        <v>546</v>
      </c>
      <c r="B321" s="3">
        <v>0</v>
      </c>
      <c r="C321" s="3">
        <v>0</v>
      </c>
      <c r="D321" s="3">
        <v>0</v>
      </c>
      <c r="E321" s="3">
        <v>0</v>
      </c>
      <c r="F321" s="3">
        <v>0</v>
      </c>
      <c r="G321" s="3">
        <v>0</v>
      </c>
      <c r="H321" s="3">
        <v>0</v>
      </c>
      <c r="I321" s="3">
        <v>0</v>
      </c>
      <c r="J321" s="3">
        <v>0</v>
      </c>
      <c r="K321" s="3">
        <v>0</v>
      </c>
      <c r="L321" s="3">
        <v>0</v>
      </c>
      <c r="M321" s="3">
        <v>0</v>
      </c>
    </row>
    <row r="322">
      <c r="A322" s="4" t="s">
        <v>547</v>
      </c>
      <c r="B322" s="3">
        <v>0</v>
      </c>
      <c r="C322" s="3">
        <v>0</v>
      </c>
      <c r="D322" s="3">
        <v>0</v>
      </c>
      <c r="E322" s="3">
        <v>0</v>
      </c>
      <c r="F322" s="3">
        <v>0</v>
      </c>
      <c r="G322" s="3">
        <v>0</v>
      </c>
      <c r="H322" s="3">
        <v>0</v>
      </c>
      <c r="I322" s="3">
        <v>0</v>
      </c>
      <c r="J322" s="3">
        <v>0</v>
      </c>
      <c r="K322" s="3">
        <v>0</v>
      </c>
      <c r="L322" s="3">
        <v>0</v>
      </c>
      <c r="M322" s="3">
        <v>0</v>
      </c>
    </row>
    <row r="323">
      <c r="A323" s="4" t="s">
        <v>548</v>
      </c>
      <c r="B323" s="3">
        <v>0</v>
      </c>
      <c r="C323" s="3">
        <v>0</v>
      </c>
      <c r="D323" s="3">
        <v>0</v>
      </c>
      <c r="E323" s="3">
        <v>0</v>
      </c>
      <c r="F323" s="3">
        <v>0</v>
      </c>
      <c r="G323" s="3">
        <v>0</v>
      </c>
      <c r="H323" s="3">
        <v>0</v>
      </c>
      <c r="I323" s="3">
        <v>0</v>
      </c>
      <c r="J323" s="3">
        <v>0</v>
      </c>
      <c r="K323" s="3">
        <v>0</v>
      </c>
      <c r="L323" s="3">
        <v>0</v>
      </c>
      <c r="M323" s="3">
        <v>0</v>
      </c>
    </row>
    <row r="324">
      <c r="A324" s="4" t="s">
        <v>549</v>
      </c>
      <c r="B324" s="3">
        <v>4017.2</v>
      </c>
      <c r="C324" s="3">
        <v>0</v>
      </c>
      <c r="D324" s="3">
        <v>0</v>
      </c>
      <c r="E324" s="3">
        <v>0</v>
      </c>
      <c r="F324" s="3">
        <v>0</v>
      </c>
      <c r="G324" s="3">
        <v>0</v>
      </c>
      <c r="H324" s="3">
        <v>0</v>
      </c>
      <c r="I324" s="3">
        <v>0</v>
      </c>
      <c r="J324" s="3">
        <v>0</v>
      </c>
      <c r="K324" s="3">
        <v>0</v>
      </c>
      <c r="L324" s="3">
        <v>0</v>
      </c>
      <c r="M324" s="3">
        <v>0</v>
      </c>
    </row>
    <row r="325">
      <c r="A325" s="4" t="s">
        <v>577</v>
      </c>
      <c r="B325" s="3">
        <v>0</v>
      </c>
      <c r="C325" s="3">
        <v>0</v>
      </c>
      <c r="D325" s="3">
        <v>0</v>
      </c>
      <c r="E325" s="3">
        <v>0</v>
      </c>
      <c r="F325" s="3">
        <v>0</v>
      </c>
      <c r="G325" s="3">
        <v>0</v>
      </c>
      <c r="H325" s="3">
        <v>0</v>
      </c>
      <c r="I325" s="3">
        <v>0</v>
      </c>
      <c r="J325" s="3">
        <v>0</v>
      </c>
      <c r="K325" s="3">
        <v>0</v>
      </c>
      <c r="L325" s="3">
        <v>0</v>
      </c>
      <c r="M325" s="3">
        <v>0</v>
      </c>
    </row>
    <row r="326">
      <c r="A326" s="4" t="s">
        <v>578</v>
      </c>
      <c r="B326" s="3">
        <v>0</v>
      </c>
      <c r="C326" s="3">
        <v>0</v>
      </c>
      <c r="D326" s="3">
        <v>0</v>
      </c>
      <c r="E326" s="3">
        <v>0</v>
      </c>
      <c r="F326" s="3">
        <v>0</v>
      </c>
      <c r="G326" s="3">
        <v>0</v>
      </c>
      <c r="H326" s="3">
        <v>0</v>
      </c>
      <c r="I326" s="3">
        <v>0</v>
      </c>
      <c r="J326" s="3">
        <v>0</v>
      </c>
      <c r="K326" s="3">
        <v>0</v>
      </c>
      <c r="L326" s="3">
        <v>0</v>
      </c>
      <c r="M326" s="3">
        <v>0</v>
      </c>
    </row>
    <row r="327">
      <c r="A327" s="4" t="s">
        <v>579</v>
      </c>
      <c r="B327" s="3">
        <v>0</v>
      </c>
      <c r="C327" s="3">
        <v>0</v>
      </c>
      <c r="D327" s="3">
        <v>0</v>
      </c>
      <c r="E327" s="3">
        <v>0</v>
      </c>
      <c r="F327" s="3">
        <v>0</v>
      </c>
      <c r="G327" s="3">
        <v>0</v>
      </c>
      <c r="H327" s="3">
        <v>0</v>
      </c>
      <c r="I327" s="3">
        <v>0</v>
      </c>
      <c r="J327" s="3">
        <v>0</v>
      </c>
      <c r="K327" s="3">
        <v>0</v>
      </c>
      <c r="L327" s="3">
        <v>0</v>
      </c>
      <c r="M327" s="3">
        <v>0</v>
      </c>
    </row>
    <row r="328">
      <c r="A328" s="4" t="s">
        <v>580</v>
      </c>
      <c r="B328" s="3">
        <v>0</v>
      </c>
      <c r="C328" s="3">
        <v>0</v>
      </c>
      <c r="D328" s="3">
        <v>0</v>
      </c>
      <c r="E328" s="3">
        <v>0</v>
      </c>
      <c r="F328" s="3">
        <v>0</v>
      </c>
      <c r="G328" s="3">
        <v>0</v>
      </c>
      <c r="H328" s="3">
        <v>0</v>
      </c>
      <c r="I328" s="3">
        <v>0</v>
      </c>
      <c r="J328" s="3">
        <v>0</v>
      </c>
      <c r="K328" s="3">
        <v>0</v>
      </c>
      <c r="L328" s="3">
        <v>0</v>
      </c>
      <c r="M328" s="3">
        <v>0</v>
      </c>
    </row>
    <row r="330">
      <c r="A330" s="22" t="s">
        <v>597</v>
      </c>
      <c r="B330" s="22"/>
      <c r="C330" s="22"/>
      <c r="D330" s="22"/>
      <c r="E330" s="22"/>
      <c r="F330" s="22"/>
      <c r="G330" s="22"/>
      <c r="H330" s="22"/>
      <c r="I330" s="22"/>
      <c r="J330" s="22"/>
      <c r="K330" s="22"/>
      <c r="L330" s="22"/>
      <c r="M330" s="22"/>
    </row>
    <row r="331">
      <c r="B331" s="22">
        <v>2025</v>
      </c>
      <c r="C331" s="22">
        <v>2026</v>
      </c>
      <c r="D331" s="22">
        <v>2027</v>
      </c>
      <c r="E331" s="22">
        <v>2028</v>
      </c>
      <c r="F331" s="22">
        <v>2029</v>
      </c>
      <c r="G331" s="22">
        <v>2030</v>
      </c>
      <c r="H331" s="22">
        <v>2031</v>
      </c>
      <c r="I331" s="22">
        <v>2032</v>
      </c>
      <c r="J331" s="22">
        <v>2033</v>
      </c>
      <c r="K331" s="22">
        <v>2034</v>
      </c>
      <c r="L331" s="22">
        <v>2035</v>
      </c>
      <c r="M331" s="22">
        <v>2036</v>
      </c>
    </row>
    <row r="332">
      <c r="A332" s="4" t="s">
        <v>88</v>
      </c>
      <c r="B332" s="4">
        <v>3</v>
      </c>
      <c r="C332" s="4">
        <v>0</v>
      </c>
      <c r="D332" s="4">
        <v>0</v>
      </c>
      <c r="E332" s="4">
        <v>0</v>
      </c>
      <c r="F332" s="4">
        <v>0</v>
      </c>
      <c r="G332" s="4">
        <v>0</v>
      </c>
      <c r="H332" s="4">
        <v>0</v>
      </c>
      <c r="I332" s="4">
        <v>0</v>
      </c>
      <c r="J332" s="4">
        <v>0</v>
      </c>
      <c r="K332" s="4">
        <v>0</v>
      </c>
      <c r="L332" s="4">
        <v>0</v>
      </c>
      <c r="M332" s="4">
        <v>0</v>
      </c>
    </row>
    <row r="333">
      <c r="A333" s="4" t="s">
        <v>96</v>
      </c>
      <c r="B333" s="4">
        <v>2</v>
      </c>
      <c r="C333" s="4">
        <v>0</v>
      </c>
      <c r="D333" s="4">
        <v>0</v>
      </c>
      <c r="E333" s="4">
        <v>0</v>
      </c>
      <c r="F333" s="4">
        <v>0</v>
      </c>
      <c r="G333" s="4">
        <v>0</v>
      </c>
      <c r="H333" s="4">
        <v>0</v>
      </c>
      <c r="I333" s="4">
        <v>0</v>
      </c>
      <c r="J333" s="4">
        <v>0</v>
      </c>
      <c r="K333" s="4">
        <v>0</v>
      </c>
      <c r="L333" s="4">
        <v>0</v>
      </c>
      <c r="M333" s="4">
        <v>0</v>
      </c>
    </row>
    <row r="334">
      <c r="A334" s="22" t="s">
        <v>601</v>
      </c>
      <c r="B334" s="22"/>
      <c r="C334" s="22"/>
      <c r="D334" s="22"/>
      <c r="E334" s="22"/>
      <c r="F334" s="22"/>
      <c r="G334" s="22"/>
      <c r="H334" s="22"/>
      <c r="I334" s="22"/>
      <c r="J334" s="22"/>
      <c r="K334" s="22"/>
      <c r="L334" s="22"/>
      <c r="M334" s="22"/>
    </row>
    <row r="335">
      <c r="A335" s="4"/>
      <c r="B335" s="22"/>
      <c r="C335" s="22">
        <v>2026</v>
      </c>
      <c r="D335" s="22">
        <v>2027</v>
      </c>
      <c r="E335" s="22">
        <v>2028</v>
      </c>
      <c r="F335" s="22">
        <v>2029</v>
      </c>
      <c r="G335" s="22">
        <v>2030</v>
      </c>
      <c r="H335" s="22">
        <v>2031</v>
      </c>
      <c r="I335" s="22">
        <v>2032</v>
      </c>
      <c r="J335" s="22">
        <v>2033</v>
      </c>
      <c r="K335" s="22">
        <v>2034</v>
      </c>
      <c r="L335" s="22">
        <v>2035</v>
      </c>
      <c r="M335" s="22">
        <v>2036</v>
      </c>
    </row>
    <row r="336">
      <c r="A336" s="89" t="s">
        <v>545</v>
      </c>
      <c r="B336" s="72"/>
      <c r="C336" s="73">
        <v>0</v>
      </c>
      <c r="D336" s="73">
        <v>0</v>
      </c>
      <c r="E336" s="73">
        <v>0</v>
      </c>
      <c r="F336" s="73">
        <v>0</v>
      </c>
      <c r="G336" s="73">
        <v>0</v>
      </c>
      <c r="H336" s="73">
        <v>0</v>
      </c>
      <c r="I336" s="73">
        <v>0</v>
      </c>
      <c r="J336" s="73">
        <v>0</v>
      </c>
      <c r="K336" s="73">
        <v>0</v>
      </c>
      <c r="L336" s="73">
        <v>0</v>
      </c>
      <c r="M336" s="73">
        <v>0</v>
      </c>
    </row>
    <row r="337">
      <c r="A337" s="89" t="s">
        <v>546</v>
      </c>
      <c r="B337" s="72"/>
      <c r="C337" s="73">
        <v>0</v>
      </c>
      <c r="D337" s="73">
        <v>0</v>
      </c>
      <c r="E337" s="73">
        <v>0</v>
      </c>
      <c r="F337" s="73">
        <v>0</v>
      </c>
      <c r="G337" s="73">
        <v>0</v>
      </c>
      <c r="H337" s="73">
        <v>0</v>
      </c>
      <c r="I337" s="73">
        <v>0</v>
      </c>
      <c r="J337" s="73">
        <v>0</v>
      </c>
      <c r="K337" s="73">
        <v>0</v>
      </c>
      <c r="L337" s="73">
        <v>0</v>
      </c>
      <c r="M337" s="73">
        <v>0</v>
      </c>
    </row>
    <row r="338">
      <c r="A338" s="89" t="s">
        <v>547</v>
      </c>
      <c r="B338" s="72"/>
      <c r="C338" s="73">
        <v>0</v>
      </c>
      <c r="D338" s="73">
        <v>0</v>
      </c>
      <c r="E338" s="73">
        <v>0</v>
      </c>
      <c r="F338" s="73">
        <v>0</v>
      </c>
      <c r="G338" s="73">
        <v>0</v>
      </c>
      <c r="H338" s="73">
        <v>0</v>
      </c>
      <c r="I338" s="73">
        <v>0</v>
      </c>
      <c r="J338" s="73">
        <v>0</v>
      </c>
      <c r="K338" s="73">
        <v>0</v>
      </c>
      <c r="L338" s="73">
        <v>0</v>
      </c>
      <c r="M338" s="73">
        <v>0</v>
      </c>
    </row>
    <row r="339">
      <c r="A339" s="89" t="s">
        <v>548</v>
      </c>
      <c r="B339" s="72"/>
      <c r="C339" s="73">
        <v>0</v>
      </c>
      <c r="D339" s="73">
        <v>0</v>
      </c>
      <c r="E339" s="73">
        <v>0</v>
      </c>
      <c r="F339" s="73">
        <v>0</v>
      </c>
      <c r="G339" s="73">
        <v>0</v>
      </c>
      <c r="H339" s="73">
        <v>0</v>
      </c>
      <c r="I339" s="73">
        <v>0</v>
      </c>
      <c r="J339" s="73">
        <v>0</v>
      </c>
      <c r="K339" s="73">
        <v>0</v>
      </c>
      <c r="L339" s="73">
        <v>0</v>
      </c>
      <c r="M339" s="73">
        <v>0</v>
      </c>
    </row>
    <row r="340">
      <c r="A340" s="89" t="s">
        <v>549</v>
      </c>
      <c r="B340" s="72"/>
      <c r="C340" s="73">
        <v>11867274</v>
      </c>
      <c r="D340" s="73">
        <v>5101744.5</v>
      </c>
      <c r="E340" s="73">
        <v>0</v>
      </c>
      <c r="F340" s="73">
        <v>1078914.9307199998</v>
      </c>
      <c r="G340" s="73">
        <v>0</v>
      </c>
      <c r="H340" s="73">
        <v>1043346.6668700001</v>
      </c>
      <c r="I340" s="73">
        <v>0</v>
      </c>
      <c r="J340" s="73">
        <v>0</v>
      </c>
      <c r="K340" s="73">
        <v>0</v>
      </c>
      <c r="L340" s="73">
        <v>0</v>
      </c>
      <c r="M340" s="73">
        <v>1237494.3290966197</v>
      </c>
    </row>
    <row r="341">
      <c r="A341" s="89" t="s">
        <v>577</v>
      </c>
      <c r="B341" s="72"/>
      <c r="C341" s="73">
        <v>0</v>
      </c>
      <c r="D341" s="73">
        <v>0</v>
      </c>
      <c r="E341" s="73">
        <v>0</v>
      </c>
      <c r="F341" s="73">
        <v>0</v>
      </c>
      <c r="G341" s="73">
        <v>0</v>
      </c>
      <c r="H341" s="73">
        <v>0</v>
      </c>
      <c r="I341" s="73">
        <v>0</v>
      </c>
      <c r="J341" s="73">
        <v>0</v>
      </c>
      <c r="K341" s="73">
        <v>0</v>
      </c>
      <c r="L341" s="73">
        <v>0</v>
      </c>
      <c r="M341" s="73">
        <v>0</v>
      </c>
    </row>
    <row r="342">
      <c r="A342" s="89" t="s">
        <v>578</v>
      </c>
      <c r="B342" s="72"/>
      <c r="C342" s="73">
        <v>0</v>
      </c>
      <c r="D342" s="73">
        <v>0</v>
      </c>
      <c r="E342" s="73">
        <v>0</v>
      </c>
      <c r="F342" s="73">
        <v>0</v>
      </c>
      <c r="G342" s="73">
        <v>0</v>
      </c>
      <c r="H342" s="73">
        <v>0</v>
      </c>
      <c r="I342" s="73">
        <v>0</v>
      </c>
      <c r="J342" s="73">
        <v>0</v>
      </c>
      <c r="K342" s="73">
        <v>0</v>
      </c>
      <c r="L342" s="73">
        <v>0</v>
      </c>
      <c r="M342" s="73">
        <v>0</v>
      </c>
    </row>
    <row r="343">
      <c r="A343" s="89" t="s">
        <v>579</v>
      </c>
      <c r="B343" s="72"/>
      <c r="C343" s="73">
        <v>0</v>
      </c>
      <c r="D343" s="73">
        <v>0</v>
      </c>
      <c r="E343" s="73">
        <v>0</v>
      </c>
      <c r="F343" s="73">
        <v>0</v>
      </c>
      <c r="G343" s="73">
        <v>0</v>
      </c>
      <c r="H343" s="73">
        <v>0</v>
      </c>
      <c r="I343" s="73">
        <v>0</v>
      </c>
      <c r="J343" s="73">
        <v>0</v>
      </c>
      <c r="K343" s="73">
        <v>0</v>
      </c>
      <c r="L343" s="73">
        <v>0</v>
      </c>
      <c r="M343" s="73">
        <v>0</v>
      </c>
    </row>
    <row r="344">
      <c r="A344" s="89" t="s">
        <v>580</v>
      </c>
      <c r="B344" s="72"/>
      <c r="C344" s="73">
        <v>0</v>
      </c>
      <c r="D344" s="73">
        <v>0</v>
      </c>
      <c r="E344" s="73">
        <v>0</v>
      </c>
      <c r="F344" s="73">
        <v>0</v>
      </c>
      <c r="G344" s="73">
        <v>0</v>
      </c>
      <c r="H344" s="73">
        <v>0</v>
      </c>
      <c r="I344" s="73">
        <v>0</v>
      </c>
      <c r="J344" s="73">
        <v>0</v>
      </c>
      <c r="K344" s="73">
        <v>0</v>
      </c>
      <c r="L344" s="73">
        <v>0</v>
      </c>
      <c r="M344" s="73">
        <v>0</v>
      </c>
    </row>
    <row r="345">
      <c r="A345" s="89" t="s">
        <v>602</v>
      </c>
      <c r="B345" s="72"/>
      <c r="C345" s="73">
        <v>1848070.4024260566</v>
      </c>
      <c r="D345" s="73">
        <v>1848070.4024260566</v>
      </c>
      <c r="E345" s="73">
        <v>1848070.4024260566</v>
      </c>
      <c r="F345" s="73">
        <v>1848070.4024260566</v>
      </c>
      <c r="G345" s="73">
        <v>1848070.4024260566</v>
      </c>
      <c r="H345" s="73">
        <v>1848070.4024260566</v>
      </c>
      <c r="I345" s="73">
        <v>1848070.4024260566</v>
      </c>
      <c r="J345" s="73">
        <v>1848070.4024260566</v>
      </c>
      <c r="K345" s="73">
        <v>1848070.4024260566</v>
      </c>
      <c r="L345" s="73">
        <v>1848070.4024260566</v>
      </c>
      <c r="M345" s="73">
        <v>1848070.4024260566</v>
      </c>
    </row>
  </sheetData>
  <mergeCells>
    <mergeCell ref="A11:A12"/>
    <mergeCell ref="C11:M11"/>
    <mergeCell ref="A15:A16"/>
    <mergeCell ref="C15:M15"/>
    <mergeCell ref="A19:A20"/>
    <mergeCell ref="C19:M19"/>
    <mergeCell ref="A23:A24"/>
    <mergeCell ref="C23:M23"/>
    <mergeCell ref="A27:A28"/>
    <mergeCell ref="C27:M27"/>
    <mergeCell ref="A35:A36"/>
    <mergeCell ref="C35:M35"/>
    <mergeCell ref="A56:A57"/>
    <mergeCell ref="C56:M56"/>
    <mergeCell ref="A70:A71"/>
    <mergeCell ref="C70:M70"/>
    <mergeCell ref="A74:A75"/>
    <mergeCell ref="C74:M74"/>
    <mergeCell ref="A2:A3"/>
    <mergeCell ref="C2:M2"/>
    <mergeCell ref="A86:A87"/>
    <mergeCell ref="C86:M86"/>
    <mergeCell ref="A90:A91"/>
    <mergeCell ref="C90:M90"/>
    <mergeCell ref="A99:A100"/>
    <mergeCell ref="C99:M99"/>
    <mergeCell ref="A121:A122"/>
    <mergeCell ref="C121:M121"/>
    <mergeCell ref="A151:M151"/>
    <mergeCell ref="A167:M167"/>
    <mergeCell ref="A183:M183"/>
    <mergeCell ref="A187:M187"/>
    <mergeCell ref="A194:M194"/>
    <mergeCell ref="A201:M201"/>
    <mergeCell ref="A208:M208"/>
    <mergeCell ref="A215:M215"/>
    <mergeCell ref="A222:M222"/>
    <mergeCell ref="A229:M229"/>
    <mergeCell ref="A236:M236"/>
    <mergeCell ref="A243:M243"/>
    <mergeCell ref="A249:M249"/>
    <mergeCell ref="A256:M256"/>
    <mergeCell ref="A263:M263"/>
    <mergeCell ref="A270:M270"/>
    <mergeCell ref="A282:M282"/>
    <mergeCell ref="A294:M294"/>
    <mergeCell ref="A306:M306"/>
    <mergeCell ref="A318:M318"/>
    <mergeCell ref="A330:M330"/>
    <mergeCell ref="A334:M334"/>
  </mergeCells>
  <headerFooter/>
</worksheet>
</file>

<file path=xl/worksheets/sheet8.xml><?xml version="1.0" encoding="utf-8"?>
<worksheet xmlns:r="http://schemas.openxmlformats.org/officeDocument/2006/relationships" xmlns="http://schemas.openxmlformats.org/spreadsheetml/2006/main">
  <dimension ref="A2:P1672"/>
  <sheetViews>
    <sheetView workbookViewId="0"/>
  </sheetViews>
  <sheetFormatPr defaultRowHeight="15"/>
  <cols>
    <col min="1" max="1" width="36.88032913208008" customWidth="1"/>
    <col min="2" max="2" width="9.140625" customWidth="1"/>
    <col min="3" max="3" width="13.653674125671387" customWidth="1"/>
    <col min="4" max="4" width="12.560017585754395" customWidth="1"/>
    <col min="5" max="5" width="9.140625" customWidth="1"/>
    <col min="6" max="6" width="12.560017585754395" customWidth="1"/>
    <col min="7" max="7" width="9.140625" customWidth="1"/>
    <col min="8" max="8" width="12.560017585754395" customWidth="1"/>
    <col min="9" max="9" width="9.140625" customWidth="1"/>
    <col min="10" max="10" width="9.140625" customWidth="1"/>
    <col min="11" max="11" width="9.140625" customWidth="1"/>
    <col min="12" max="12" width="9.140625" customWidth="1"/>
    <col min="13" max="13" width="12.560017585754395" customWidth="1"/>
    <col min="14" max="14" width="13.653674125671387" customWidth="1"/>
    <col min="15" max="15" width="9.140625" customWidth="1"/>
    <col min="16" max="16" width="36.365726470947266" customWidth="1"/>
  </cols>
  <sheetData>
    <row r="2">
      <c r="A2" s="25" t="s">
        <v>131</v>
      </c>
      <c r="B2" s="25"/>
      <c r="C2" s="25"/>
      <c r="D2" s="25"/>
      <c r="E2" s="25"/>
      <c r="F2" s="25"/>
      <c r="G2" s="25"/>
      <c r="H2" s="25"/>
      <c r="I2" s="25"/>
      <c r="J2" s="25"/>
      <c r="K2" s="25"/>
      <c r="L2" s="24"/>
      <c r="M2" s="24"/>
    </row>
    <row r="5">
      <c r="A5" s="22" t="s">
        <v>363</v>
      </c>
      <c r="C5" s="22" t="s">
        <v>502</v>
      </c>
      <c r="D5" s="22"/>
      <c r="E5" s="22"/>
      <c r="F5" s="22"/>
      <c r="G5" s="22"/>
      <c r="H5" s="22"/>
      <c r="I5" s="22"/>
      <c r="J5" s="22"/>
      <c r="K5" s="22"/>
      <c r="L5" s="22"/>
      <c r="M5" s="22"/>
    </row>
    <row r="6">
      <c r="A6" s="22"/>
      <c r="C6" s="22">
        <v>2026</v>
      </c>
      <c r="D6" s="22">
        <v>2027</v>
      </c>
      <c r="E6" s="22">
        <v>2028</v>
      </c>
      <c r="F6" s="22">
        <v>2029</v>
      </c>
      <c r="G6" s="22">
        <v>2030</v>
      </c>
      <c r="H6" s="22">
        <v>2031</v>
      </c>
      <c r="I6" s="22">
        <v>2032</v>
      </c>
      <c r="J6" s="22">
        <v>2033</v>
      </c>
      <c r="K6" s="22">
        <v>2034</v>
      </c>
      <c r="L6" s="22">
        <v>2035</v>
      </c>
      <c r="M6" s="22">
        <v>2036</v>
      </c>
    </row>
    <row r="7">
      <c r="A7" s="3" t="s">
        <v>504</v>
      </c>
      <c r="B7" s="3"/>
      <c r="C7" s="82">
        <v>0</v>
      </c>
      <c r="D7" s="82">
        <v>0</v>
      </c>
      <c r="E7" s="82">
        <v>0</v>
      </c>
      <c r="F7" s="82">
        <v>0</v>
      </c>
      <c r="G7" s="82">
        <v>0</v>
      </c>
      <c r="H7" s="82">
        <v>0</v>
      </c>
      <c r="I7" s="82">
        <v>0</v>
      </c>
      <c r="J7" s="82">
        <v>0</v>
      </c>
      <c r="K7" s="82">
        <v>0</v>
      </c>
      <c r="L7" s="82">
        <v>0</v>
      </c>
      <c r="M7" s="82">
        <v>0</v>
      </c>
    </row>
    <row r="8">
      <c r="A8" s="3" t="s">
        <v>506</v>
      </c>
      <c r="B8" s="3"/>
      <c r="C8" s="83">
        <v>0</v>
      </c>
      <c r="D8" s="83">
        <v>0</v>
      </c>
      <c r="E8" s="83">
        <v>0</v>
      </c>
      <c r="F8" s="83">
        <v>0</v>
      </c>
      <c r="G8" s="83">
        <v>0</v>
      </c>
      <c r="H8" s="83">
        <v>0</v>
      </c>
      <c r="I8" s="83">
        <v>0</v>
      </c>
      <c r="J8" s="83">
        <v>0</v>
      </c>
      <c r="K8" s="83">
        <v>0</v>
      </c>
      <c r="L8" s="83">
        <v>0</v>
      </c>
      <c r="M8" s="83">
        <v>0</v>
      </c>
    </row>
    <row r="9">
      <c r="A9" s="3" t="s">
        <v>507</v>
      </c>
      <c r="B9" s="3"/>
      <c r="C9" s="83">
        <v>0</v>
      </c>
      <c r="D9" s="83">
        <v>0</v>
      </c>
      <c r="E9" s="83">
        <v>0</v>
      </c>
      <c r="F9" s="83">
        <v>0</v>
      </c>
      <c r="G9" s="83">
        <v>0</v>
      </c>
      <c r="H9" s="83">
        <v>0</v>
      </c>
      <c r="I9" s="83">
        <v>0</v>
      </c>
      <c r="J9" s="83">
        <v>0</v>
      </c>
      <c r="K9" s="83">
        <v>0</v>
      </c>
      <c r="L9" s="83">
        <v>0</v>
      </c>
      <c r="M9" s="83">
        <v>0</v>
      </c>
    </row>
    <row r="10">
      <c r="A10" s="3" t="s">
        <v>508</v>
      </c>
      <c r="B10" s="3"/>
      <c r="C10" s="83">
        <v>0</v>
      </c>
      <c r="D10" s="83">
        <v>0</v>
      </c>
      <c r="E10" s="83">
        <v>0</v>
      </c>
      <c r="F10" s="83">
        <v>0</v>
      </c>
      <c r="G10" s="83">
        <v>0</v>
      </c>
      <c r="H10" s="83">
        <v>0</v>
      </c>
      <c r="I10" s="83">
        <v>0</v>
      </c>
      <c r="J10" s="83">
        <v>0</v>
      </c>
      <c r="K10" s="83">
        <v>0</v>
      </c>
      <c r="L10" s="83">
        <v>0</v>
      </c>
      <c r="M10" s="83">
        <v>0</v>
      </c>
    </row>
    <row r="11">
      <c r="A11" s="3" t="s">
        <v>509</v>
      </c>
      <c r="B11" s="3"/>
      <c r="C11" s="83">
        <v>0</v>
      </c>
      <c r="D11" s="83">
        <v>0</v>
      </c>
      <c r="E11" s="83">
        <v>0</v>
      </c>
      <c r="F11" s="83">
        <v>0</v>
      </c>
      <c r="G11" s="83">
        <v>0</v>
      </c>
      <c r="H11" s="83">
        <v>0</v>
      </c>
      <c r="I11" s="83">
        <v>0</v>
      </c>
      <c r="J11" s="83">
        <v>0</v>
      </c>
      <c r="K11" s="83">
        <v>0</v>
      </c>
      <c r="L11" s="83">
        <v>0</v>
      </c>
      <c r="M11" s="83">
        <v>0</v>
      </c>
    </row>
    <row r="12">
      <c r="A12" s="3" t="s">
        <v>510</v>
      </c>
      <c r="B12" s="3"/>
      <c r="C12" s="83">
        <v>0</v>
      </c>
      <c r="D12" s="83">
        <v>0</v>
      </c>
      <c r="E12" s="83">
        <v>0</v>
      </c>
      <c r="F12" s="83">
        <v>0</v>
      </c>
      <c r="G12" s="83">
        <v>0</v>
      </c>
      <c r="H12" s="83">
        <v>0</v>
      </c>
      <c r="I12" s="83">
        <v>0</v>
      </c>
      <c r="J12" s="83">
        <v>0</v>
      </c>
      <c r="K12" s="83">
        <v>0</v>
      </c>
      <c r="L12" s="83">
        <v>0</v>
      </c>
      <c r="M12" s="83">
        <v>0</v>
      </c>
    </row>
    <row r="16">
      <c r="A16" s="22" t="s">
        <v>529</v>
      </c>
      <c r="C16" s="22" t="s">
        <v>363</v>
      </c>
      <c r="D16" s="22"/>
      <c r="E16" s="22"/>
      <c r="F16" s="22"/>
      <c r="G16" s="22"/>
      <c r="H16" s="22"/>
      <c r="I16" s="22"/>
      <c r="J16" s="22"/>
      <c r="K16" s="22"/>
      <c r="L16" s="22"/>
      <c r="M16" s="22"/>
    </row>
    <row r="17">
      <c r="A17" s="22"/>
      <c r="B17" s="3"/>
      <c r="C17" s="22">
        <v>2026</v>
      </c>
      <c r="D17" s="22">
        <v>2027</v>
      </c>
      <c r="E17" s="22">
        <v>2028</v>
      </c>
      <c r="F17" s="22">
        <v>2029</v>
      </c>
      <c r="G17" s="22">
        <v>2030</v>
      </c>
      <c r="H17" s="22">
        <v>2031</v>
      </c>
      <c r="I17" s="22">
        <v>2032</v>
      </c>
      <c r="J17" s="22">
        <v>2033</v>
      </c>
      <c r="K17" s="22">
        <v>2034</v>
      </c>
      <c r="L17" s="22">
        <v>2035</v>
      </c>
      <c r="M17" s="22">
        <v>2036</v>
      </c>
      <c r="N17" s="22" t="s">
        <v>530</v>
      </c>
    </row>
    <row r="18">
      <c r="A18" s="3" t="s">
        <v>117</v>
      </c>
      <c r="B18" s="3"/>
      <c r="C18" s="74">
        <v>0</v>
      </c>
      <c r="D18" s="74">
        <v>0</v>
      </c>
      <c r="E18" s="74">
        <v>0</v>
      </c>
      <c r="F18" s="74">
        <v>0</v>
      </c>
      <c r="G18" s="74">
        <v>0</v>
      </c>
      <c r="H18" s="74">
        <v>0</v>
      </c>
      <c r="I18" s="74">
        <v>0</v>
      </c>
      <c r="J18" s="74">
        <v>0</v>
      </c>
      <c r="K18" s="74">
        <v>0</v>
      </c>
      <c r="L18" s="74">
        <v>0</v>
      </c>
      <c r="M18" s="74">
        <v>0</v>
      </c>
      <c r="N18" s="78">
        <f>Sum(C18:M18)</f>
        <v>0</v>
      </c>
      <c r="O18" s="76" t="e">
        <f>(N18/N25)</f>
        <v>#DIV/0!</v>
      </c>
      <c r="P18" s="0" t="s">
        <v>531</v>
      </c>
    </row>
    <row r="19">
      <c r="A19" s="3" t="s">
        <v>121</v>
      </c>
      <c r="B19" s="3"/>
      <c r="C19" s="74">
        <v>0</v>
      </c>
      <c r="D19" s="74">
        <v>0</v>
      </c>
      <c r="E19" s="74">
        <v>0</v>
      </c>
      <c r="F19" s="74">
        <v>0</v>
      </c>
      <c r="G19" s="74">
        <v>0</v>
      </c>
      <c r="H19" s="74">
        <v>0</v>
      </c>
      <c r="I19" s="74">
        <v>0</v>
      </c>
      <c r="J19" s="74">
        <v>0</v>
      </c>
      <c r="K19" s="74">
        <v>0</v>
      </c>
      <c r="L19" s="74">
        <v>0</v>
      </c>
      <c r="M19" s="74">
        <v>0</v>
      </c>
      <c r="N19" s="78">
        <f>Sum(C19:M19)</f>
        <v>0</v>
      </c>
      <c r="O19" s="76" t="e">
        <f>(N19/N25)</f>
        <v>#DIV/0!</v>
      </c>
      <c r="P19" s="0" t="s">
        <v>532</v>
      </c>
    </row>
    <row r="20">
      <c r="A20" s="3" t="s">
        <v>122</v>
      </c>
      <c r="B20" s="3"/>
      <c r="C20" s="74">
        <v>0</v>
      </c>
      <c r="D20" s="74">
        <v>0</v>
      </c>
      <c r="E20" s="74">
        <v>0</v>
      </c>
      <c r="F20" s="74">
        <v>0</v>
      </c>
      <c r="G20" s="74">
        <v>0</v>
      </c>
      <c r="H20" s="74">
        <v>0</v>
      </c>
      <c r="I20" s="74">
        <v>0</v>
      </c>
      <c r="J20" s="74">
        <v>0</v>
      </c>
      <c r="K20" s="74">
        <v>0</v>
      </c>
      <c r="L20" s="74">
        <v>0</v>
      </c>
      <c r="M20" s="74">
        <v>0</v>
      </c>
      <c r="N20" s="78">
        <f>Sum(C20:M20)</f>
        <v>0</v>
      </c>
      <c r="O20" s="76" t="e">
        <f>(N20/N25)</f>
        <v>#DIV/0!</v>
      </c>
      <c r="P20" s="0" t="s">
        <v>533</v>
      </c>
    </row>
    <row r="21">
      <c r="A21" s="3" t="s">
        <v>124</v>
      </c>
      <c r="B21" s="3"/>
      <c r="C21" s="74">
        <v>0</v>
      </c>
      <c r="D21" s="74">
        <v>0</v>
      </c>
      <c r="E21" s="74">
        <v>0</v>
      </c>
      <c r="F21" s="74">
        <v>0</v>
      </c>
      <c r="G21" s="74">
        <v>0</v>
      </c>
      <c r="H21" s="74">
        <v>0</v>
      </c>
      <c r="I21" s="74">
        <v>0</v>
      </c>
      <c r="J21" s="74">
        <v>0</v>
      </c>
      <c r="K21" s="74">
        <v>0</v>
      </c>
      <c r="L21" s="74">
        <v>0</v>
      </c>
      <c r="M21" s="74">
        <v>0</v>
      </c>
      <c r="N21" s="78">
        <f>Sum(C21:M21)</f>
        <v>0</v>
      </c>
      <c r="O21" s="76" t="e">
        <f>(N21/N25)</f>
        <v>#DIV/0!</v>
      </c>
      <c r="P21" s="0" t="s">
        <v>534</v>
      </c>
    </row>
    <row r="22">
      <c r="A22" s="3" t="s">
        <v>535</v>
      </c>
      <c r="B22" s="3"/>
      <c r="C22" s="74">
        <v>0</v>
      </c>
      <c r="D22" s="74">
        <v>0</v>
      </c>
      <c r="E22" s="74">
        <v>0</v>
      </c>
      <c r="F22" s="74">
        <v>0</v>
      </c>
      <c r="G22" s="74">
        <v>0</v>
      </c>
      <c r="H22" s="74">
        <v>0</v>
      </c>
      <c r="I22" s="74">
        <v>0</v>
      </c>
      <c r="J22" s="74">
        <v>0</v>
      </c>
      <c r="K22" s="74">
        <v>0</v>
      </c>
      <c r="L22" s="74">
        <v>0</v>
      </c>
      <c r="M22" s="74">
        <v>0</v>
      </c>
      <c r="N22" s="78">
        <f>Sum(C22:M22)</f>
        <v>0</v>
      </c>
      <c r="O22" s="76" t="e">
        <f>(N22/N25)</f>
        <v>#DIV/0!</v>
      </c>
      <c r="P22" s="0" t="s">
        <v>536</v>
      </c>
    </row>
    <row r="23">
      <c r="A23" s="3" t="s">
        <v>537</v>
      </c>
      <c r="B23" s="3"/>
      <c r="C23" s="74">
        <v>0</v>
      </c>
      <c r="D23" s="74">
        <v>0</v>
      </c>
      <c r="E23" s="74">
        <v>0</v>
      </c>
      <c r="F23" s="74">
        <v>0</v>
      </c>
      <c r="G23" s="74">
        <v>0</v>
      </c>
      <c r="H23" s="74">
        <v>0</v>
      </c>
      <c r="I23" s="74">
        <v>0</v>
      </c>
      <c r="J23" s="74">
        <v>0</v>
      </c>
      <c r="K23" s="74">
        <v>0</v>
      </c>
      <c r="L23" s="74">
        <v>0</v>
      </c>
      <c r="M23" s="74">
        <v>0</v>
      </c>
      <c r="N23" s="78">
        <f>Sum(C23:M23)</f>
        <v>0</v>
      </c>
      <c r="O23" s="76" t="e">
        <f>(N23/N25)</f>
        <v>#DIV/0!</v>
      </c>
      <c r="P23" s="0" t="s">
        <v>538</v>
      </c>
    </row>
    <row r="24">
      <c r="A24" s="3" t="s">
        <v>539</v>
      </c>
      <c r="B24" s="3"/>
      <c r="C24" s="74">
        <v>0</v>
      </c>
      <c r="D24" s="74">
        <v>0</v>
      </c>
      <c r="E24" s="74">
        <v>0</v>
      </c>
      <c r="F24" s="74">
        <v>0</v>
      </c>
      <c r="G24" s="74">
        <v>0</v>
      </c>
      <c r="H24" s="74">
        <v>0</v>
      </c>
      <c r="I24" s="74">
        <v>0</v>
      </c>
      <c r="J24" s="74">
        <v>0</v>
      </c>
      <c r="K24" s="74">
        <v>0</v>
      </c>
      <c r="L24" s="74">
        <v>0</v>
      </c>
      <c r="M24" s="74">
        <v>0</v>
      </c>
      <c r="N24" s="78">
        <f>Sum(C24:M24)</f>
        <v>0</v>
      </c>
      <c r="O24" s="76" t="e">
        <f>(N24/N25)</f>
        <v>#DIV/0!</v>
      </c>
      <c r="P24" s="0" t="s">
        <v>540</v>
      </c>
    </row>
    <row r="25">
      <c r="A25" s="3" t="s">
        <v>541</v>
      </c>
      <c r="B25" s="3"/>
      <c r="C25" s="74"/>
      <c r="D25" s="74"/>
      <c r="E25" s="74"/>
      <c r="F25" s="74"/>
      <c r="G25" s="74"/>
      <c r="H25" s="74"/>
      <c r="I25" s="74"/>
      <c r="J25" s="74"/>
      <c r="K25" s="74"/>
      <c r="L25" s="74"/>
      <c r="M25" s="74"/>
      <c r="N25" s="78">
        <f>Sum(C25:M25)</f>
        <v>0</v>
      </c>
    </row>
    <row r="26">
      <c r="A26" s="3"/>
      <c r="B26" s="3"/>
      <c r="C26" s="74"/>
      <c r="D26" s="74"/>
      <c r="E26" s="74"/>
      <c r="F26" s="74"/>
      <c r="G26" s="74"/>
      <c r="H26" s="74"/>
      <c r="I26" s="74"/>
      <c r="J26" s="74"/>
      <c r="K26" s="74"/>
      <c r="L26" s="74"/>
      <c r="M26" s="74"/>
      <c r="N26" s="78"/>
    </row>
    <row r="27">
      <c r="A27" s="3" t="s">
        <v>542</v>
      </c>
      <c r="B27" s="3"/>
      <c r="C27" s="74">
        <v>0</v>
      </c>
      <c r="D27" s="74">
        <v>0</v>
      </c>
      <c r="E27" s="74">
        <v>0</v>
      </c>
      <c r="F27" s="74">
        <v>0</v>
      </c>
      <c r="G27" s="74">
        <v>0</v>
      </c>
      <c r="H27" s="74">
        <v>0</v>
      </c>
      <c r="I27" s="74">
        <v>0</v>
      </c>
      <c r="J27" s="74">
        <v>0</v>
      </c>
      <c r="K27" s="74">
        <v>0</v>
      </c>
      <c r="L27" s="74">
        <v>0</v>
      </c>
      <c r="M27" s="74">
        <v>0</v>
      </c>
      <c r="N27" s="78">
        <f>Sum(C27:M27)</f>
        <v>0</v>
      </c>
    </row>
    <row r="29">
      <c r="A29" s="22" t="s">
        <v>543</v>
      </c>
      <c r="C29" s="22" t="s">
        <v>363</v>
      </c>
      <c r="D29" s="22"/>
      <c r="E29" s="22"/>
      <c r="F29" s="22"/>
      <c r="G29" s="22"/>
      <c r="H29" s="22"/>
      <c r="I29" s="22"/>
      <c r="J29" s="22"/>
      <c r="K29" s="22"/>
      <c r="L29" s="22"/>
      <c r="M29" s="22"/>
    </row>
    <row r="30">
      <c r="A30" s="22"/>
      <c r="C30" s="22">
        <v>2026</v>
      </c>
      <c r="D30" s="22">
        <v>2027</v>
      </c>
      <c r="E30" s="22">
        <v>2028</v>
      </c>
      <c r="F30" s="22">
        <v>2029</v>
      </c>
      <c r="G30" s="22">
        <v>2030</v>
      </c>
      <c r="H30" s="22">
        <v>2031</v>
      </c>
      <c r="I30" s="22">
        <v>2032</v>
      </c>
      <c r="J30" s="22">
        <v>2033</v>
      </c>
      <c r="K30" s="22">
        <v>2034</v>
      </c>
      <c r="L30" s="22">
        <v>2035</v>
      </c>
      <c r="M30" s="22">
        <v>2036</v>
      </c>
    </row>
    <row r="31">
      <c r="A31" s="3"/>
      <c r="B31" s="3"/>
      <c r="C31" s="74"/>
      <c r="D31" s="74"/>
      <c r="E31" s="74"/>
      <c r="F31" s="74"/>
      <c r="G31" s="74"/>
      <c r="H31" s="74"/>
      <c r="I31" s="74"/>
      <c r="J31" s="74"/>
      <c r="K31" s="74"/>
      <c r="L31" s="74"/>
      <c r="M31" s="74"/>
      <c r="N31" s="78">
        <f>Sum(C31:M31)</f>
        <v>0</v>
      </c>
    </row>
    <row r="34">
      <c r="A34" s="22" t="s">
        <v>473</v>
      </c>
      <c r="C34" s="22" t="s">
        <v>544</v>
      </c>
      <c r="D34" s="22"/>
      <c r="E34" s="22"/>
      <c r="F34" s="22"/>
      <c r="G34" s="22"/>
      <c r="H34" s="22"/>
      <c r="I34" s="22"/>
      <c r="J34" s="22"/>
      <c r="K34" s="22"/>
      <c r="L34" s="22"/>
      <c r="M34" s="22"/>
    </row>
    <row r="35">
      <c r="A35" s="22"/>
      <c r="C35" s="22">
        <v>2026</v>
      </c>
      <c r="D35" s="22">
        <v>2027</v>
      </c>
      <c r="E35" s="22">
        <v>2028</v>
      </c>
      <c r="F35" s="22">
        <v>2029</v>
      </c>
      <c r="G35" s="22">
        <v>2030</v>
      </c>
      <c r="H35" s="22">
        <v>2031</v>
      </c>
      <c r="I35" s="22">
        <v>2032</v>
      </c>
      <c r="J35" s="22">
        <v>2033</v>
      </c>
      <c r="K35" s="22">
        <v>2034</v>
      </c>
      <c r="L35" s="22">
        <v>2035</v>
      </c>
      <c r="M35" s="22">
        <v>2036</v>
      </c>
    </row>
    <row r="36">
      <c r="A36" s="3" t="s">
        <v>545</v>
      </c>
      <c r="B36" s="3"/>
      <c r="C36" s="90">
        <v>0</v>
      </c>
      <c r="D36" s="90">
        <v>0</v>
      </c>
      <c r="E36" s="90">
        <v>0</v>
      </c>
      <c r="F36" s="90">
        <v>0</v>
      </c>
      <c r="G36" s="90">
        <v>0</v>
      </c>
      <c r="H36" s="90">
        <v>0</v>
      </c>
      <c r="I36" s="90">
        <v>0</v>
      </c>
      <c r="J36" s="90">
        <v>0</v>
      </c>
      <c r="K36" s="90">
        <v>0</v>
      </c>
      <c r="L36" s="90">
        <v>0</v>
      </c>
      <c r="M36" s="90">
        <v>0</v>
      </c>
    </row>
    <row r="37">
      <c r="A37" s="3" t="s">
        <v>546</v>
      </c>
      <c r="B37" s="3"/>
      <c r="C37" s="90">
        <v>0</v>
      </c>
      <c r="D37" s="90">
        <v>0</v>
      </c>
      <c r="E37" s="90">
        <v>0</v>
      </c>
      <c r="F37" s="90">
        <v>0</v>
      </c>
      <c r="G37" s="90">
        <v>0</v>
      </c>
      <c r="H37" s="90">
        <v>0</v>
      </c>
      <c r="I37" s="90">
        <v>0</v>
      </c>
      <c r="J37" s="90">
        <v>0</v>
      </c>
      <c r="K37" s="90">
        <v>0</v>
      </c>
      <c r="L37" s="90">
        <v>0</v>
      </c>
      <c r="M37" s="90">
        <v>0</v>
      </c>
    </row>
    <row r="38">
      <c r="A38" s="3" t="s">
        <v>547</v>
      </c>
      <c r="B38" s="3"/>
      <c r="C38" s="90">
        <v>0</v>
      </c>
      <c r="D38" s="90">
        <v>0</v>
      </c>
      <c r="E38" s="90">
        <v>0</v>
      </c>
      <c r="F38" s="90">
        <v>0</v>
      </c>
      <c r="G38" s="90">
        <v>0</v>
      </c>
      <c r="H38" s="90">
        <v>0</v>
      </c>
      <c r="I38" s="90">
        <v>0</v>
      </c>
      <c r="J38" s="90">
        <v>0</v>
      </c>
      <c r="K38" s="90">
        <v>0</v>
      </c>
      <c r="L38" s="90">
        <v>0</v>
      </c>
      <c r="M38" s="90">
        <v>0</v>
      </c>
    </row>
    <row r="39">
      <c r="A39" s="3" t="s">
        <v>548</v>
      </c>
      <c r="B39" s="3"/>
      <c r="C39" s="90">
        <v>0</v>
      </c>
      <c r="D39" s="90">
        <v>0</v>
      </c>
      <c r="E39" s="90">
        <v>0</v>
      </c>
      <c r="F39" s="90">
        <v>0</v>
      </c>
      <c r="G39" s="90">
        <v>0</v>
      </c>
      <c r="H39" s="90">
        <v>0</v>
      </c>
      <c r="I39" s="90">
        <v>0</v>
      </c>
      <c r="J39" s="90">
        <v>0</v>
      </c>
      <c r="K39" s="90">
        <v>0</v>
      </c>
      <c r="L39" s="90">
        <v>0</v>
      </c>
      <c r="M39" s="90">
        <v>0</v>
      </c>
    </row>
    <row r="40">
      <c r="A40" s="3" t="s">
        <v>549</v>
      </c>
      <c r="B40" s="3"/>
      <c r="C40" s="90">
        <v>0</v>
      </c>
      <c r="D40" s="90">
        <v>0</v>
      </c>
      <c r="E40" s="90">
        <v>0</v>
      </c>
      <c r="F40" s="90">
        <v>0</v>
      </c>
      <c r="G40" s="90">
        <v>0</v>
      </c>
      <c r="H40" s="90">
        <v>0</v>
      </c>
      <c r="I40" s="90">
        <v>0</v>
      </c>
      <c r="J40" s="90">
        <v>0</v>
      </c>
      <c r="K40" s="90">
        <v>0</v>
      </c>
      <c r="L40" s="90">
        <v>0</v>
      </c>
      <c r="M40" s="90">
        <v>0</v>
      </c>
    </row>
    <row r="41">
      <c r="A41" s="3" t="s">
        <v>550</v>
      </c>
      <c r="B41" s="3"/>
      <c r="C41" s="90">
        <v>0</v>
      </c>
      <c r="D41" s="90">
        <v>0</v>
      </c>
      <c r="E41" s="90">
        <v>0</v>
      </c>
      <c r="F41" s="90">
        <v>0</v>
      </c>
      <c r="G41" s="90">
        <v>0</v>
      </c>
      <c r="H41" s="90">
        <v>0</v>
      </c>
      <c r="I41" s="90">
        <v>0</v>
      </c>
      <c r="J41" s="90">
        <v>0</v>
      </c>
      <c r="K41" s="90">
        <v>0</v>
      </c>
      <c r="L41" s="90">
        <v>0</v>
      </c>
      <c r="M41" s="90">
        <v>0</v>
      </c>
    </row>
    <row r="42">
      <c r="A42" s="3" t="s">
        <v>551</v>
      </c>
      <c r="B42" s="3"/>
      <c r="C42" s="90">
        <v>0</v>
      </c>
      <c r="D42" s="90">
        <v>0</v>
      </c>
      <c r="E42" s="90"/>
      <c r="F42" s="90">
        <v>0</v>
      </c>
      <c r="G42" s="90"/>
      <c r="H42" s="90">
        <v>0</v>
      </c>
      <c r="I42" s="90"/>
      <c r="J42" s="90"/>
      <c r="K42" s="90"/>
      <c r="L42" s="90"/>
      <c r="M42" s="90">
        <v>0</v>
      </c>
    </row>
    <row r="44">
      <c r="A44" s="25" t="s">
        <v>132</v>
      </c>
      <c r="B44" s="25"/>
      <c r="C44" s="25"/>
      <c r="D44" s="25"/>
      <c r="E44" s="25"/>
      <c r="F44" s="25"/>
      <c r="G44" s="25"/>
      <c r="H44" s="25"/>
      <c r="I44" s="25"/>
      <c r="J44" s="25"/>
      <c r="K44" s="25"/>
      <c r="L44" s="24"/>
      <c r="M44" s="24"/>
    </row>
    <row r="47">
      <c r="A47" s="22" t="s">
        <v>363</v>
      </c>
      <c r="C47" s="22" t="s">
        <v>502</v>
      </c>
      <c r="D47" s="22"/>
      <c r="E47" s="22"/>
      <c r="F47" s="22"/>
      <c r="G47" s="22"/>
      <c r="H47" s="22"/>
      <c r="I47" s="22"/>
      <c r="J47" s="22"/>
      <c r="K47" s="22"/>
      <c r="L47" s="22"/>
      <c r="M47" s="22"/>
    </row>
    <row r="48">
      <c r="A48" s="22"/>
      <c r="C48" s="22">
        <v>2026</v>
      </c>
      <c r="D48" s="22">
        <v>2027</v>
      </c>
      <c r="E48" s="22">
        <v>2028</v>
      </c>
      <c r="F48" s="22">
        <v>2029</v>
      </c>
      <c r="G48" s="22">
        <v>2030</v>
      </c>
      <c r="H48" s="22">
        <v>2031</v>
      </c>
      <c r="I48" s="22">
        <v>2032</v>
      </c>
      <c r="J48" s="22">
        <v>2033</v>
      </c>
      <c r="K48" s="22">
        <v>2034</v>
      </c>
      <c r="L48" s="22">
        <v>2035</v>
      </c>
      <c r="M48" s="22">
        <v>2036</v>
      </c>
    </row>
    <row r="49">
      <c r="A49" s="3" t="s">
        <v>504</v>
      </c>
      <c r="B49" s="3"/>
      <c r="C49" s="82">
        <v>0</v>
      </c>
      <c r="D49" s="82">
        <v>0</v>
      </c>
      <c r="E49" s="82">
        <v>0</v>
      </c>
      <c r="F49" s="82">
        <v>0</v>
      </c>
      <c r="G49" s="82">
        <v>0</v>
      </c>
      <c r="H49" s="82">
        <v>0</v>
      </c>
      <c r="I49" s="82">
        <v>0</v>
      </c>
      <c r="J49" s="82">
        <v>0</v>
      </c>
      <c r="K49" s="82">
        <v>0</v>
      </c>
      <c r="L49" s="82">
        <v>0</v>
      </c>
      <c r="M49" s="82">
        <v>0</v>
      </c>
    </row>
    <row r="50">
      <c r="A50" s="3" t="s">
        <v>506</v>
      </c>
      <c r="B50" s="3"/>
      <c r="C50" s="83">
        <v>0</v>
      </c>
      <c r="D50" s="83">
        <v>0</v>
      </c>
      <c r="E50" s="83">
        <v>0</v>
      </c>
      <c r="F50" s="83">
        <v>0</v>
      </c>
      <c r="G50" s="83">
        <v>0</v>
      </c>
      <c r="H50" s="83">
        <v>0</v>
      </c>
      <c r="I50" s="83">
        <v>0</v>
      </c>
      <c r="J50" s="83">
        <v>0</v>
      </c>
      <c r="K50" s="83">
        <v>0</v>
      </c>
      <c r="L50" s="83">
        <v>0</v>
      </c>
      <c r="M50" s="83">
        <v>0</v>
      </c>
    </row>
    <row r="51">
      <c r="A51" s="3" t="s">
        <v>507</v>
      </c>
      <c r="B51" s="3"/>
      <c r="C51" s="83">
        <v>0</v>
      </c>
      <c r="D51" s="83">
        <v>0</v>
      </c>
      <c r="E51" s="83">
        <v>0</v>
      </c>
      <c r="F51" s="83">
        <v>0</v>
      </c>
      <c r="G51" s="83">
        <v>0</v>
      </c>
      <c r="H51" s="83">
        <v>0</v>
      </c>
      <c r="I51" s="83">
        <v>0</v>
      </c>
      <c r="J51" s="83">
        <v>0</v>
      </c>
      <c r="K51" s="83">
        <v>0</v>
      </c>
      <c r="L51" s="83">
        <v>0</v>
      </c>
      <c r="M51" s="83">
        <v>0</v>
      </c>
    </row>
    <row r="52">
      <c r="A52" s="3" t="s">
        <v>508</v>
      </c>
      <c r="B52" s="3"/>
      <c r="C52" s="83">
        <v>0</v>
      </c>
      <c r="D52" s="83">
        <v>0</v>
      </c>
      <c r="E52" s="83">
        <v>0</v>
      </c>
      <c r="F52" s="83">
        <v>0</v>
      </c>
      <c r="G52" s="83">
        <v>0</v>
      </c>
      <c r="H52" s="83">
        <v>0</v>
      </c>
      <c r="I52" s="83">
        <v>0</v>
      </c>
      <c r="J52" s="83">
        <v>0</v>
      </c>
      <c r="K52" s="83">
        <v>0</v>
      </c>
      <c r="L52" s="83">
        <v>0</v>
      </c>
      <c r="M52" s="83">
        <v>0</v>
      </c>
    </row>
    <row r="53">
      <c r="A53" s="3" t="s">
        <v>509</v>
      </c>
      <c r="B53" s="3"/>
      <c r="C53" s="83">
        <v>0</v>
      </c>
      <c r="D53" s="83">
        <v>0</v>
      </c>
      <c r="E53" s="83">
        <v>0</v>
      </c>
      <c r="F53" s="83">
        <v>0</v>
      </c>
      <c r="G53" s="83">
        <v>0</v>
      </c>
      <c r="H53" s="83">
        <v>0</v>
      </c>
      <c r="I53" s="83">
        <v>0</v>
      </c>
      <c r="J53" s="83">
        <v>0</v>
      </c>
      <c r="K53" s="83">
        <v>0</v>
      </c>
      <c r="L53" s="83">
        <v>0</v>
      </c>
      <c r="M53" s="83">
        <v>0</v>
      </c>
    </row>
    <row r="54">
      <c r="A54" s="3" t="s">
        <v>510</v>
      </c>
      <c r="B54" s="3"/>
      <c r="C54" s="83">
        <v>0</v>
      </c>
      <c r="D54" s="83">
        <v>0</v>
      </c>
      <c r="E54" s="83">
        <v>0</v>
      </c>
      <c r="F54" s="83">
        <v>0</v>
      </c>
      <c r="G54" s="83">
        <v>0</v>
      </c>
      <c r="H54" s="83">
        <v>0</v>
      </c>
      <c r="I54" s="83">
        <v>0</v>
      </c>
      <c r="J54" s="83">
        <v>0</v>
      </c>
      <c r="K54" s="83">
        <v>0</v>
      </c>
      <c r="L54" s="83">
        <v>0</v>
      </c>
      <c r="M54" s="83">
        <v>0</v>
      </c>
    </row>
    <row r="58">
      <c r="A58" s="22" t="s">
        <v>529</v>
      </c>
      <c r="C58" s="22" t="s">
        <v>363</v>
      </c>
      <c r="D58" s="22"/>
      <c r="E58" s="22"/>
      <c r="F58" s="22"/>
      <c r="G58" s="22"/>
      <c r="H58" s="22"/>
      <c r="I58" s="22"/>
      <c r="J58" s="22"/>
      <c r="K58" s="22"/>
      <c r="L58" s="22"/>
      <c r="M58" s="22"/>
    </row>
    <row r="59">
      <c r="A59" s="22"/>
      <c r="B59" s="3"/>
      <c r="C59" s="22">
        <v>2026</v>
      </c>
      <c r="D59" s="22">
        <v>2027</v>
      </c>
      <c r="E59" s="22">
        <v>2028</v>
      </c>
      <c r="F59" s="22">
        <v>2029</v>
      </c>
      <c r="G59" s="22">
        <v>2030</v>
      </c>
      <c r="H59" s="22">
        <v>2031</v>
      </c>
      <c r="I59" s="22">
        <v>2032</v>
      </c>
      <c r="J59" s="22">
        <v>2033</v>
      </c>
      <c r="K59" s="22">
        <v>2034</v>
      </c>
      <c r="L59" s="22">
        <v>2035</v>
      </c>
      <c r="M59" s="22">
        <v>2036</v>
      </c>
      <c r="N59" s="22" t="s">
        <v>530</v>
      </c>
    </row>
    <row r="60">
      <c r="A60" s="3" t="s">
        <v>117</v>
      </c>
      <c r="B60" s="3"/>
      <c r="C60" s="74">
        <v>0</v>
      </c>
      <c r="D60" s="74">
        <v>0</v>
      </c>
      <c r="E60" s="74">
        <v>0</v>
      </c>
      <c r="F60" s="74">
        <v>0</v>
      </c>
      <c r="G60" s="74">
        <v>0</v>
      </c>
      <c r="H60" s="74">
        <v>0</v>
      </c>
      <c r="I60" s="74">
        <v>0</v>
      </c>
      <c r="J60" s="74">
        <v>0</v>
      </c>
      <c r="K60" s="74">
        <v>0</v>
      </c>
      <c r="L60" s="74">
        <v>0</v>
      </c>
      <c r="M60" s="74">
        <v>0</v>
      </c>
      <c r="N60" s="78">
        <f>Sum(C60:M60)</f>
        <v>0</v>
      </c>
      <c r="O60" s="76" t="e">
        <f>(N60/N67)</f>
        <v>#DIV/0!</v>
      </c>
      <c r="P60" s="0" t="s">
        <v>531</v>
      </c>
    </row>
    <row r="61">
      <c r="A61" s="3" t="s">
        <v>121</v>
      </c>
      <c r="B61" s="3"/>
      <c r="C61" s="74">
        <v>0</v>
      </c>
      <c r="D61" s="74">
        <v>0</v>
      </c>
      <c r="E61" s="74">
        <v>0</v>
      </c>
      <c r="F61" s="74">
        <v>0</v>
      </c>
      <c r="G61" s="74">
        <v>0</v>
      </c>
      <c r="H61" s="74">
        <v>0</v>
      </c>
      <c r="I61" s="74">
        <v>0</v>
      </c>
      <c r="J61" s="74">
        <v>0</v>
      </c>
      <c r="K61" s="74">
        <v>0</v>
      </c>
      <c r="L61" s="74">
        <v>0</v>
      </c>
      <c r="M61" s="74">
        <v>0</v>
      </c>
      <c r="N61" s="78">
        <f>Sum(C61:M61)</f>
        <v>0</v>
      </c>
      <c r="O61" s="76" t="e">
        <f>(N61/N67)</f>
        <v>#DIV/0!</v>
      </c>
      <c r="P61" s="0" t="s">
        <v>532</v>
      </c>
    </row>
    <row r="62">
      <c r="A62" s="3" t="s">
        <v>122</v>
      </c>
      <c r="B62" s="3"/>
      <c r="C62" s="74">
        <v>0</v>
      </c>
      <c r="D62" s="74">
        <v>0</v>
      </c>
      <c r="E62" s="74">
        <v>0</v>
      </c>
      <c r="F62" s="74">
        <v>0</v>
      </c>
      <c r="G62" s="74">
        <v>0</v>
      </c>
      <c r="H62" s="74">
        <v>0</v>
      </c>
      <c r="I62" s="74">
        <v>0</v>
      </c>
      <c r="J62" s="74">
        <v>0</v>
      </c>
      <c r="K62" s="74">
        <v>0</v>
      </c>
      <c r="L62" s="74">
        <v>0</v>
      </c>
      <c r="M62" s="74">
        <v>0</v>
      </c>
      <c r="N62" s="78">
        <f>Sum(C62:M62)</f>
        <v>0</v>
      </c>
      <c r="O62" s="76" t="e">
        <f>(N62/N67)</f>
        <v>#DIV/0!</v>
      </c>
      <c r="P62" s="0" t="s">
        <v>533</v>
      </c>
    </row>
    <row r="63">
      <c r="A63" s="3" t="s">
        <v>124</v>
      </c>
      <c r="B63" s="3"/>
      <c r="C63" s="74">
        <v>0</v>
      </c>
      <c r="D63" s="74">
        <v>0</v>
      </c>
      <c r="E63" s="74">
        <v>0</v>
      </c>
      <c r="F63" s="74">
        <v>0</v>
      </c>
      <c r="G63" s="74">
        <v>0</v>
      </c>
      <c r="H63" s="74">
        <v>0</v>
      </c>
      <c r="I63" s="74">
        <v>0</v>
      </c>
      <c r="J63" s="74">
        <v>0</v>
      </c>
      <c r="K63" s="74">
        <v>0</v>
      </c>
      <c r="L63" s="74">
        <v>0</v>
      </c>
      <c r="M63" s="74">
        <v>0</v>
      </c>
      <c r="N63" s="78">
        <f>Sum(C63:M63)</f>
        <v>0</v>
      </c>
      <c r="O63" s="76" t="e">
        <f>(N63/N67)</f>
        <v>#DIV/0!</v>
      </c>
      <c r="P63" s="0" t="s">
        <v>534</v>
      </c>
    </row>
    <row r="64">
      <c r="A64" s="3" t="s">
        <v>535</v>
      </c>
      <c r="B64" s="3"/>
      <c r="C64" s="74">
        <v>0</v>
      </c>
      <c r="D64" s="74">
        <v>0</v>
      </c>
      <c r="E64" s="74">
        <v>0</v>
      </c>
      <c r="F64" s="74">
        <v>0</v>
      </c>
      <c r="G64" s="74">
        <v>0</v>
      </c>
      <c r="H64" s="74">
        <v>0</v>
      </c>
      <c r="I64" s="74">
        <v>0</v>
      </c>
      <c r="J64" s="74">
        <v>0</v>
      </c>
      <c r="K64" s="74">
        <v>0</v>
      </c>
      <c r="L64" s="74">
        <v>0</v>
      </c>
      <c r="M64" s="74">
        <v>0</v>
      </c>
      <c r="N64" s="78">
        <f>Sum(C64:M64)</f>
        <v>0</v>
      </c>
      <c r="O64" s="76" t="e">
        <f>(N64/N67)</f>
        <v>#DIV/0!</v>
      </c>
      <c r="P64" s="0" t="s">
        <v>536</v>
      </c>
    </row>
    <row r="65">
      <c r="A65" s="3" t="s">
        <v>537</v>
      </c>
      <c r="B65" s="3"/>
      <c r="C65" s="74">
        <v>0</v>
      </c>
      <c r="D65" s="74">
        <v>0</v>
      </c>
      <c r="E65" s="74">
        <v>0</v>
      </c>
      <c r="F65" s="74">
        <v>0</v>
      </c>
      <c r="G65" s="74">
        <v>0</v>
      </c>
      <c r="H65" s="74">
        <v>0</v>
      </c>
      <c r="I65" s="74">
        <v>0</v>
      </c>
      <c r="J65" s="74">
        <v>0</v>
      </c>
      <c r="K65" s="74">
        <v>0</v>
      </c>
      <c r="L65" s="74">
        <v>0</v>
      </c>
      <c r="M65" s="74">
        <v>0</v>
      </c>
      <c r="N65" s="78">
        <f>Sum(C65:M65)</f>
        <v>0</v>
      </c>
      <c r="O65" s="76" t="e">
        <f>(N65/N67)</f>
        <v>#DIV/0!</v>
      </c>
      <c r="P65" s="0" t="s">
        <v>538</v>
      </c>
    </row>
    <row r="66">
      <c r="A66" s="3" t="s">
        <v>539</v>
      </c>
      <c r="B66" s="3"/>
      <c r="C66" s="74">
        <v>0</v>
      </c>
      <c r="D66" s="74">
        <v>0</v>
      </c>
      <c r="E66" s="74">
        <v>0</v>
      </c>
      <c r="F66" s="74">
        <v>0</v>
      </c>
      <c r="G66" s="74">
        <v>0</v>
      </c>
      <c r="H66" s="74">
        <v>0</v>
      </c>
      <c r="I66" s="74">
        <v>0</v>
      </c>
      <c r="J66" s="74">
        <v>0</v>
      </c>
      <c r="K66" s="74">
        <v>0</v>
      </c>
      <c r="L66" s="74">
        <v>0</v>
      </c>
      <c r="M66" s="74">
        <v>0</v>
      </c>
      <c r="N66" s="78">
        <f>Sum(C66:M66)</f>
        <v>0</v>
      </c>
      <c r="O66" s="76" t="e">
        <f>(N66/N67)</f>
        <v>#DIV/0!</v>
      </c>
      <c r="P66" s="0" t="s">
        <v>540</v>
      </c>
    </row>
    <row r="67">
      <c r="A67" s="3" t="s">
        <v>541</v>
      </c>
      <c r="B67" s="3"/>
      <c r="C67" s="74"/>
      <c r="D67" s="74"/>
      <c r="E67" s="74"/>
      <c r="F67" s="74"/>
      <c r="G67" s="74"/>
      <c r="H67" s="74"/>
      <c r="I67" s="74"/>
      <c r="J67" s="74"/>
      <c r="K67" s="74"/>
      <c r="L67" s="74"/>
      <c r="M67" s="74"/>
      <c r="N67" s="78">
        <f>Sum(C67:M67)</f>
        <v>0</v>
      </c>
    </row>
    <row r="68">
      <c r="A68" s="3"/>
      <c r="B68" s="3"/>
      <c r="C68" s="74"/>
      <c r="D68" s="74"/>
      <c r="E68" s="74"/>
      <c r="F68" s="74"/>
      <c r="G68" s="74"/>
      <c r="H68" s="74"/>
      <c r="I68" s="74"/>
      <c r="J68" s="74"/>
      <c r="K68" s="74"/>
      <c r="L68" s="74"/>
      <c r="M68" s="74"/>
      <c r="N68" s="78"/>
    </row>
    <row r="69">
      <c r="A69" s="3" t="s">
        <v>542</v>
      </c>
      <c r="B69" s="3"/>
      <c r="C69" s="74">
        <v>0</v>
      </c>
      <c r="D69" s="74">
        <v>0</v>
      </c>
      <c r="E69" s="74">
        <v>0</v>
      </c>
      <c r="F69" s="74">
        <v>0</v>
      </c>
      <c r="G69" s="74">
        <v>0</v>
      </c>
      <c r="H69" s="74">
        <v>0</v>
      </c>
      <c r="I69" s="74">
        <v>0</v>
      </c>
      <c r="J69" s="74">
        <v>0</v>
      </c>
      <c r="K69" s="74">
        <v>0</v>
      </c>
      <c r="L69" s="74">
        <v>0</v>
      </c>
      <c r="M69" s="74">
        <v>0</v>
      </c>
      <c r="N69" s="78">
        <f>Sum(C69:M69)</f>
        <v>0</v>
      </c>
    </row>
    <row r="71">
      <c r="A71" s="22" t="s">
        <v>543</v>
      </c>
      <c r="C71" s="22" t="s">
        <v>363</v>
      </c>
      <c r="D71" s="22"/>
      <c r="E71" s="22"/>
      <c r="F71" s="22"/>
      <c r="G71" s="22"/>
      <c r="H71" s="22"/>
      <c r="I71" s="22"/>
      <c r="J71" s="22"/>
      <c r="K71" s="22"/>
      <c r="L71" s="22"/>
      <c r="M71" s="22"/>
    </row>
    <row r="72">
      <c r="A72" s="22"/>
      <c r="C72" s="22">
        <v>2026</v>
      </c>
      <c r="D72" s="22">
        <v>2027</v>
      </c>
      <c r="E72" s="22">
        <v>2028</v>
      </c>
      <c r="F72" s="22">
        <v>2029</v>
      </c>
      <c r="G72" s="22">
        <v>2030</v>
      </c>
      <c r="H72" s="22">
        <v>2031</v>
      </c>
      <c r="I72" s="22">
        <v>2032</v>
      </c>
      <c r="J72" s="22">
        <v>2033</v>
      </c>
      <c r="K72" s="22">
        <v>2034</v>
      </c>
      <c r="L72" s="22">
        <v>2035</v>
      </c>
      <c r="M72" s="22">
        <v>2036</v>
      </c>
    </row>
    <row r="73">
      <c r="A73" s="3"/>
      <c r="B73" s="3"/>
      <c r="C73" s="74"/>
      <c r="D73" s="74"/>
      <c r="E73" s="74"/>
      <c r="F73" s="74"/>
      <c r="G73" s="74"/>
      <c r="H73" s="74"/>
      <c r="I73" s="74"/>
      <c r="J73" s="74"/>
      <c r="K73" s="74"/>
      <c r="L73" s="74"/>
      <c r="M73" s="74"/>
      <c r="N73" s="78">
        <f>Sum(C73:M73)</f>
        <v>0</v>
      </c>
    </row>
    <row r="76">
      <c r="A76" s="22" t="s">
        <v>473</v>
      </c>
      <c r="C76" s="22" t="s">
        <v>544</v>
      </c>
      <c r="D76" s="22"/>
      <c r="E76" s="22"/>
      <c r="F76" s="22"/>
      <c r="G76" s="22"/>
      <c r="H76" s="22"/>
      <c r="I76" s="22"/>
      <c r="J76" s="22"/>
      <c r="K76" s="22"/>
      <c r="L76" s="22"/>
      <c r="M76" s="22"/>
    </row>
    <row r="77">
      <c r="A77" s="22"/>
      <c r="C77" s="22">
        <v>2026</v>
      </c>
      <c r="D77" s="22">
        <v>2027</v>
      </c>
      <c r="E77" s="22">
        <v>2028</v>
      </c>
      <c r="F77" s="22">
        <v>2029</v>
      </c>
      <c r="G77" s="22">
        <v>2030</v>
      </c>
      <c r="H77" s="22">
        <v>2031</v>
      </c>
      <c r="I77" s="22">
        <v>2032</v>
      </c>
      <c r="J77" s="22">
        <v>2033</v>
      </c>
      <c r="K77" s="22">
        <v>2034</v>
      </c>
      <c r="L77" s="22">
        <v>2035</v>
      </c>
      <c r="M77" s="22">
        <v>2036</v>
      </c>
    </row>
    <row r="78">
      <c r="A78" s="3" t="s">
        <v>545</v>
      </c>
      <c r="B78" s="3"/>
      <c r="C78" s="90">
        <v>0</v>
      </c>
      <c r="D78" s="90">
        <v>0</v>
      </c>
      <c r="E78" s="90">
        <v>0</v>
      </c>
      <c r="F78" s="90">
        <v>0</v>
      </c>
      <c r="G78" s="90">
        <v>0</v>
      </c>
      <c r="H78" s="90">
        <v>0</v>
      </c>
      <c r="I78" s="90">
        <v>0</v>
      </c>
      <c r="J78" s="90">
        <v>0</v>
      </c>
      <c r="K78" s="90">
        <v>0</v>
      </c>
      <c r="L78" s="90">
        <v>0</v>
      </c>
      <c r="M78" s="90">
        <v>0</v>
      </c>
    </row>
    <row r="79">
      <c r="A79" s="3" t="s">
        <v>546</v>
      </c>
      <c r="B79" s="3"/>
      <c r="C79" s="90">
        <v>0</v>
      </c>
      <c r="D79" s="90">
        <v>0</v>
      </c>
      <c r="E79" s="90">
        <v>0</v>
      </c>
      <c r="F79" s="90">
        <v>0</v>
      </c>
      <c r="G79" s="90">
        <v>0</v>
      </c>
      <c r="H79" s="90">
        <v>0</v>
      </c>
      <c r="I79" s="90">
        <v>0</v>
      </c>
      <c r="J79" s="90">
        <v>0</v>
      </c>
      <c r="K79" s="90">
        <v>0</v>
      </c>
      <c r="L79" s="90">
        <v>0</v>
      </c>
      <c r="M79" s="90">
        <v>0</v>
      </c>
    </row>
    <row r="80">
      <c r="A80" s="3" t="s">
        <v>547</v>
      </c>
      <c r="B80" s="3"/>
      <c r="C80" s="90">
        <v>0</v>
      </c>
      <c r="D80" s="90">
        <v>0</v>
      </c>
      <c r="E80" s="90">
        <v>0</v>
      </c>
      <c r="F80" s="90">
        <v>0</v>
      </c>
      <c r="G80" s="90">
        <v>0</v>
      </c>
      <c r="H80" s="90">
        <v>0</v>
      </c>
      <c r="I80" s="90">
        <v>0</v>
      </c>
      <c r="J80" s="90">
        <v>0</v>
      </c>
      <c r="K80" s="90">
        <v>0</v>
      </c>
      <c r="L80" s="90">
        <v>0</v>
      </c>
      <c r="M80" s="90">
        <v>0</v>
      </c>
    </row>
    <row r="81">
      <c r="A81" s="3" t="s">
        <v>548</v>
      </c>
      <c r="B81" s="3"/>
      <c r="C81" s="90">
        <v>0</v>
      </c>
      <c r="D81" s="90">
        <v>0</v>
      </c>
      <c r="E81" s="90">
        <v>0</v>
      </c>
      <c r="F81" s="90">
        <v>0</v>
      </c>
      <c r="G81" s="90">
        <v>0</v>
      </c>
      <c r="H81" s="90">
        <v>0</v>
      </c>
      <c r="I81" s="90">
        <v>0</v>
      </c>
      <c r="J81" s="90">
        <v>0</v>
      </c>
      <c r="K81" s="90">
        <v>0</v>
      </c>
      <c r="L81" s="90">
        <v>0</v>
      </c>
      <c r="M81" s="90">
        <v>0</v>
      </c>
    </row>
    <row r="82">
      <c r="A82" s="3" t="s">
        <v>549</v>
      </c>
      <c r="B82" s="3"/>
      <c r="C82" s="90">
        <v>0</v>
      </c>
      <c r="D82" s="90">
        <v>0</v>
      </c>
      <c r="E82" s="90">
        <v>0</v>
      </c>
      <c r="F82" s="90">
        <v>0</v>
      </c>
      <c r="G82" s="90">
        <v>0</v>
      </c>
      <c r="H82" s="90">
        <v>0</v>
      </c>
      <c r="I82" s="90">
        <v>0</v>
      </c>
      <c r="J82" s="90">
        <v>0</v>
      </c>
      <c r="K82" s="90">
        <v>0</v>
      </c>
      <c r="L82" s="90">
        <v>0</v>
      </c>
      <c r="M82" s="90">
        <v>0</v>
      </c>
    </row>
    <row r="83">
      <c r="A83" s="3" t="s">
        <v>550</v>
      </c>
      <c r="B83" s="3"/>
      <c r="C83" s="90">
        <v>0</v>
      </c>
      <c r="D83" s="90">
        <v>0</v>
      </c>
      <c r="E83" s="90">
        <v>0</v>
      </c>
      <c r="F83" s="90">
        <v>0</v>
      </c>
      <c r="G83" s="90">
        <v>0</v>
      </c>
      <c r="H83" s="90">
        <v>0</v>
      </c>
      <c r="I83" s="90">
        <v>0</v>
      </c>
      <c r="J83" s="90">
        <v>0</v>
      </c>
      <c r="K83" s="90">
        <v>0</v>
      </c>
      <c r="L83" s="90">
        <v>0</v>
      </c>
      <c r="M83" s="90">
        <v>0</v>
      </c>
    </row>
    <row r="84">
      <c r="A84" s="3" t="s">
        <v>551</v>
      </c>
      <c r="B84" s="3"/>
      <c r="C84" s="90">
        <v>0</v>
      </c>
      <c r="D84" s="90">
        <v>0</v>
      </c>
      <c r="E84" s="90"/>
      <c r="F84" s="90">
        <v>0</v>
      </c>
      <c r="G84" s="90"/>
      <c r="H84" s="90">
        <v>0</v>
      </c>
      <c r="I84" s="90"/>
      <c r="J84" s="90"/>
      <c r="K84" s="90"/>
      <c r="L84" s="90"/>
      <c r="M84" s="90">
        <v>0</v>
      </c>
    </row>
    <row r="86">
      <c r="A86" s="25" t="s">
        <v>133</v>
      </c>
      <c r="B86" s="25"/>
      <c r="C86" s="25"/>
      <c r="D86" s="25"/>
      <c r="E86" s="25"/>
      <c r="F86" s="25"/>
      <c r="G86" s="25"/>
      <c r="H86" s="25"/>
      <c r="I86" s="25"/>
      <c r="J86" s="25"/>
      <c r="K86" s="25"/>
      <c r="L86" s="24"/>
      <c r="M86" s="24"/>
    </row>
    <row r="89">
      <c r="A89" s="22" t="s">
        <v>363</v>
      </c>
      <c r="C89" s="22" t="s">
        <v>502</v>
      </c>
      <c r="D89" s="22"/>
      <c r="E89" s="22"/>
      <c r="F89" s="22"/>
      <c r="G89" s="22"/>
      <c r="H89" s="22"/>
      <c r="I89" s="22"/>
      <c r="J89" s="22"/>
      <c r="K89" s="22"/>
      <c r="L89" s="22"/>
      <c r="M89" s="22"/>
    </row>
    <row r="90">
      <c r="A90" s="22"/>
      <c r="C90" s="22">
        <v>2026</v>
      </c>
      <c r="D90" s="22">
        <v>2027</v>
      </c>
      <c r="E90" s="22">
        <v>2028</v>
      </c>
      <c r="F90" s="22">
        <v>2029</v>
      </c>
      <c r="G90" s="22">
        <v>2030</v>
      </c>
      <c r="H90" s="22">
        <v>2031</v>
      </c>
      <c r="I90" s="22">
        <v>2032</v>
      </c>
      <c r="J90" s="22">
        <v>2033</v>
      </c>
      <c r="K90" s="22">
        <v>2034</v>
      </c>
      <c r="L90" s="22">
        <v>2035</v>
      </c>
      <c r="M90" s="22">
        <v>2036</v>
      </c>
    </row>
    <row r="91">
      <c r="A91" s="3" t="s">
        <v>504</v>
      </c>
      <c r="B91" s="3"/>
      <c r="C91" s="82">
        <v>0</v>
      </c>
      <c r="D91" s="82">
        <v>0</v>
      </c>
      <c r="E91" s="82">
        <v>0</v>
      </c>
      <c r="F91" s="82">
        <v>0</v>
      </c>
      <c r="G91" s="82">
        <v>0</v>
      </c>
      <c r="H91" s="82">
        <v>0</v>
      </c>
      <c r="I91" s="82">
        <v>0</v>
      </c>
      <c r="J91" s="82">
        <v>0</v>
      </c>
      <c r="K91" s="82">
        <v>0</v>
      </c>
      <c r="L91" s="82">
        <v>0</v>
      </c>
      <c r="M91" s="82">
        <v>0</v>
      </c>
    </row>
    <row r="92">
      <c r="A92" s="3" t="s">
        <v>506</v>
      </c>
      <c r="B92" s="3"/>
      <c r="C92" s="83">
        <v>0</v>
      </c>
      <c r="D92" s="83">
        <v>0</v>
      </c>
      <c r="E92" s="83">
        <v>0</v>
      </c>
      <c r="F92" s="83">
        <v>0</v>
      </c>
      <c r="G92" s="83">
        <v>0</v>
      </c>
      <c r="H92" s="83">
        <v>0</v>
      </c>
      <c r="I92" s="83">
        <v>0</v>
      </c>
      <c r="J92" s="83">
        <v>0</v>
      </c>
      <c r="K92" s="83">
        <v>0</v>
      </c>
      <c r="L92" s="83">
        <v>0</v>
      </c>
      <c r="M92" s="83">
        <v>0</v>
      </c>
    </row>
    <row r="93">
      <c r="A93" s="3" t="s">
        <v>507</v>
      </c>
      <c r="B93" s="3"/>
      <c r="C93" s="83">
        <v>0</v>
      </c>
      <c r="D93" s="83">
        <v>0</v>
      </c>
      <c r="E93" s="83">
        <v>0</v>
      </c>
      <c r="F93" s="83">
        <v>0</v>
      </c>
      <c r="G93" s="83">
        <v>0</v>
      </c>
      <c r="H93" s="83">
        <v>0</v>
      </c>
      <c r="I93" s="83">
        <v>0</v>
      </c>
      <c r="J93" s="83">
        <v>0</v>
      </c>
      <c r="K93" s="83">
        <v>0</v>
      </c>
      <c r="L93" s="83">
        <v>0</v>
      </c>
      <c r="M93" s="83">
        <v>0</v>
      </c>
    </row>
    <row r="94">
      <c r="A94" s="3" t="s">
        <v>508</v>
      </c>
      <c r="B94" s="3"/>
      <c r="C94" s="83">
        <v>0</v>
      </c>
      <c r="D94" s="83">
        <v>0</v>
      </c>
      <c r="E94" s="83">
        <v>0</v>
      </c>
      <c r="F94" s="83">
        <v>0</v>
      </c>
      <c r="G94" s="83">
        <v>0</v>
      </c>
      <c r="H94" s="83">
        <v>0</v>
      </c>
      <c r="I94" s="83">
        <v>0</v>
      </c>
      <c r="J94" s="83">
        <v>0</v>
      </c>
      <c r="K94" s="83">
        <v>0</v>
      </c>
      <c r="L94" s="83">
        <v>0</v>
      </c>
      <c r="M94" s="83">
        <v>0</v>
      </c>
    </row>
    <row r="95">
      <c r="A95" s="3" t="s">
        <v>509</v>
      </c>
      <c r="B95" s="3"/>
      <c r="C95" s="83">
        <v>0</v>
      </c>
      <c r="D95" s="83">
        <v>0</v>
      </c>
      <c r="E95" s="83">
        <v>0</v>
      </c>
      <c r="F95" s="83">
        <v>0</v>
      </c>
      <c r="G95" s="83">
        <v>0</v>
      </c>
      <c r="H95" s="83">
        <v>0</v>
      </c>
      <c r="I95" s="83">
        <v>0</v>
      </c>
      <c r="J95" s="83">
        <v>0</v>
      </c>
      <c r="K95" s="83">
        <v>0</v>
      </c>
      <c r="L95" s="83">
        <v>0</v>
      </c>
      <c r="M95" s="83">
        <v>0</v>
      </c>
    </row>
    <row r="96">
      <c r="A96" s="3" t="s">
        <v>510</v>
      </c>
      <c r="B96" s="3"/>
      <c r="C96" s="83">
        <v>0</v>
      </c>
      <c r="D96" s="83">
        <v>0</v>
      </c>
      <c r="E96" s="83">
        <v>0</v>
      </c>
      <c r="F96" s="83">
        <v>0</v>
      </c>
      <c r="G96" s="83">
        <v>0</v>
      </c>
      <c r="H96" s="83">
        <v>0</v>
      </c>
      <c r="I96" s="83">
        <v>0</v>
      </c>
      <c r="J96" s="83">
        <v>0</v>
      </c>
      <c r="K96" s="83">
        <v>0</v>
      </c>
      <c r="L96" s="83">
        <v>0</v>
      </c>
      <c r="M96" s="83">
        <v>0</v>
      </c>
    </row>
    <row r="100">
      <c r="A100" s="22" t="s">
        <v>529</v>
      </c>
      <c r="C100" s="22" t="s">
        <v>363</v>
      </c>
      <c r="D100" s="22"/>
      <c r="E100" s="22"/>
      <c r="F100" s="22"/>
      <c r="G100" s="22"/>
      <c r="H100" s="22"/>
      <c r="I100" s="22"/>
      <c r="J100" s="22"/>
      <c r="K100" s="22"/>
      <c r="L100" s="22"/>
      <c r="M100" s="22"/>
    </row>
    <row r="101">
      <c r="A101" s="22"/>
      <c r="B101" s="3"/>
      <c r="C101" s="22">
        <v>2026</v>
      </c>
      <c r="D101" s="22">
        <v>2027</v>
      </c>
      <c r="E101" s="22">
        <v>2028</v>
      </c>
      <c r="F101" s="22">
        <v>2029</v>
      </c>
      <c r="G101" s="22">
        <v>2030</v>
      </c>
      <c r="H101" s="22">
        <v>2031</v>
      </c>
      <c r="I101" s="22">
        <v>2032</v>
      </c>
      <c r="J101" s="22">
        <v>2033</v>
      </c>
      <c r="K101" s="22">
        <v>2034</v>
      </c>
      <c r="L101" s="22">
        <v>2035</v>
      </c>
      <c r="M101" s="22">
        <v>2036</v>
      </c>
      <c r="N101" s="22" t="s">
        <v>530</v>
      </c>
    </row>
    <row r="102">
      <c r="A102" s="3" t="s">
        <v>117</v>
      </c>
      <c r="B102" s="3"/>
      <c r="C102" s="74">
        <v>0</v>
      </c>
      <c r="D102" s="74">
        <v>0</v>
      </c>
      <c r="E102" s="74">
        <v>0</v>
      </c>
      <c r="F102" s="74">
        <v>0</v>
      </c>
      <c r="G102" s="74">
        <v>0</v>
      </c>
      <c r="H102" s="74">
        <v>0</v>
      </c>
      <c r="I102" s="74">
        <v>0</v>
      </c>
      <c r="J102" s="74">
        <v>0</v>
      </c>
      <c r="K102" s="74">
        <v>0</v>
      </c>
      <c r="L102" s="74">
        <v>0</v>
      </c>
      <c r="M102" s="74">
        <v>0</v>
      </c>
      <c r="N102" s="78">
        <f>Sum(C102:M102)</f>
        <v>0</v>
      </c>
      <c r="O102" s="76" t="e">
        <f>(N102/N109)</f>
        <v>#DIV/0!</v>
      </c>
      <c r="P102" s="0" t="s">
        <v>531</v>
      </c>
    </row>
    <row r="103">
      <c r="A103" s="3" t="s">
        <v>121</v>
      </c>
      <c r="B103" s="3"/>
      <c r="C103" s="74">
        <v>0</v>
      </c>
      <c r="D103" s="74">
        <v>0</v>
      </c>
      <c r="E103" s="74">
        <v>0</v>
      </c>
      <c r="F103" s="74">
        <v>0</v>
      </c>
      <c r="G103" s="74">
        <v>0</v>
      </c>
      <c r="H103" s="74">
        <v>0</v>
      </c>
      <c r="I103" s="74">
        <v>0</v>
      </c>
      <c r="J103" s="74">
        <v>0</v>
      </c>
      <c r="K103" s="74">
        <v>0</v>
      </c>
      <c r="L103" s="74">
        <v>0</v>
      </c>
      <c r="M103" s="74">
        <v>0</v>
      </c>
      <c r="N103" s="78">
        <f>Sum(C103:M103)</f>
        <v>0</v>
      </c>
      <c r="O103" s="76" t="e">
        <f>(N103/N109)</f>
        <v>#DIV/0!</v>
      </c>
      <c r="P103" s="0" t="s">
        <v>532</v>
      </c>
    </row>
    <row r="104">
      <c r="A104" s="3" t="s">
        <v>122</v>
      </c>
      <c r="B104" s="3"/>
      <c r="C104" s="74">
        <v>0</v>
      </c>
      <c r="D104" s="74">
        <v>0</v>
      </c>
      <c r="E104" s="74">
        <v>0</v>
      </c>
      <c r="F104" s="74">
        <v>0</v>
      </c>
      <c r="G104" s="74">
        <v>0</v>
      </c>
      <c r="H104" s="74">
        <v>0</v>
      </c>
      <c r="I104" s="74">
        <v>0</v>
      </c>
      <c r="J104" s="74">
        <v>0</v>
      </c>
      <c r="K104" s="74">
        <v>0</v>
      </c>
      <c r="L104" s="74">
        <v>0</v>
      </c>
      <c r="M104" s="74">
        <v>0</v>
      </c>
      <c r="N104" s="78">
        <f>Sum(C104:M104)</f>
        <v>0</v>
      </c>
      <c r="O104" s="76" t="e">
        <f>(N104/N109)</f>
        <v>#DIV/0!</v>
      </c>
      <c r="P104" s="0" t="s">
        <v>533</v>
      </c>
    </row>
    <row r="105">
      <c r="A105" s="3" t="s">
        <v>124</v>
      </c>
      <c r="B105" s="3"/>
      <c r="C105" s="74">
        <v>0</v>
      </c>
      <c r="D105" s="74">
        <v>0</v>
      </c>
      <c r="E105" s="74">
        <v>0</v>
      </c>
      <c r="F105" s="74">
        <v>0</v>
      </c>
      <c r="G105" s="74">
        <v>0</v>
      </c>
      <c r="H105" s="74">
        <v>0</v>
      </c>
      <c r="I105" s="74">
        <v>0</v>
      </c>
      <c r="J105" s="74">
        <v>0</v>
      </c>
      <c r="K105" s="74">
        <v>0</v>
      </c>
      <c r="L105" s="74">
        <v>0</v>
      </c>
      <c r="M105" s="74">
        <v>0</v>
      </c>
      <c r="N105" s="78">
        <f>Sum(C105:M105)</f>
        <v>0</v>
      </c>
      <c r="O105" s="76" t="e">
        <f>(N105/N109)</f>
        <v>#DIV/0!</v>
      </c>
      <c r="P105" s="0" t="s">
        <v>534</v>
      </c>
    </row>
    <row r="106">
      <c r="A106" s="3" t="s">
        <v>535</v>
      </c>
      <c r="B106" s="3"/>
      <c r="C106" s="74">
        <v>0</v>
      </c>
      <c r="D106" s="74">
        <v>0</v>
      </c>
      <c r="E106" s="74">
        <v>0</v>
      </c>
      <c r="F106" s="74">
        <v>0</v>
      </c>
      <c r="G106" s="74">
        <v>0</v>
      </c>
      <c r="H106" s="74">
        <v>0</v>
      </c>
      <c r="I106" s="74">
        <v>0</v>
      </c>
      <c r="J106" s="74">
        <v>0</v>
      </c>
      <c r="K106" s="74">
        <v>0</v>
      </c>
      <c r="L106" s="74">
        <v>0</v>
      </c>
      <c r="M106" s="74">
        <v>0</v>
      </c>
      <c r="N106" s="78">
        <f>Sum(C106:M106)</f>
        <v>0</v>
      </c>
      <c r="O106" s="76" t="e">
        <f>(N106/N109)</f>
        <v>#DIV/0!</v>
      </c>
      <c r="P106" s="0" t="s">
        <v>536</v>
      </c>
    </row>
    <row r="107">
      <c r="A107" s="3" t="s">
        <v>537</v>
      </c>
      <c r="B107" s="3"/>
      <c r="C107" s="74">
        <v>0</v>
      </c>
      <c r="D107" s="74">
        <v>0</v>
      </c>
      <c r="E107" s="74">
        <v>0</v>
      </c>
      <c r="F107" s="74">
        <v>0</v>
      </c>
      <c r="G107" s="74">
        <v>0</v>
      </c>
      <c r="H107" s="74">
        <v>0</v>
      </c>
      <c r="I107" s="74">
        <v>0</v>
      </c>
      <c r="J107" s="74">
        <v>0</v>
      </c>
      <c r="K107" s="74">
        <v>0</v>
      </c>
      <c r="L107" s="74">
        <v>0</v>
      </c>
      <c r="M107" s="74">
        <v>0</v>
      </c>
      <c r="N107" s="78">
        <f>Sum(C107:M107)</f>
        <v>0</v>
      </c>
      <c r="O107" s="76" t="e">
        <f>(N107/N109)</f>
        <v>#DIV/0!</v>
      </c>
      <c r="P107" s="0" t="s">
        <v>538</v>
      </c>
    </row>
    <row r="108">
      <c r="A108" s="3" t="s">
        <v>539</v>
      </c>
      <c r="B108" s="3"/>
      <c r="C108" s="74">
        <v>0</v>
      </c>
      <c r="D108" s="74">
        <v>0</v>
      </c>
      <c r="E108" s="74">
        <v>0</v>
      </c>
      <c r="F108" s="74">
        <v>0</v>
      </c>
      <c r="G108" s="74">
        <v>0</v>
      </c>
      <c r="H108" s="74">
        <v>0</v>
      </c>
      <c r="I108" s="74">
        <v>0</v>
      </c>
      <c r="J108" s="74">
        <v>0</v>
      </c>
      <c r="K108" s="74">
        <v>0</v>
      </c>
      <c r="L108" s="74">
        <v>0</v>
      </c>
      <c r="M108" s="74">
        <v>0</v>
      </c>
      <c r="N108" s="78">
        <f>Sum(C108:M108)</f>
        <v>0</v>
      </c>
      <c r="O108" s="76" t="e">
        <f>(N108/N109)</f>
        <v>#DIV/0!</v>
      </c>
      <c r="P108" s="0" t="s">
        <v>540</v>
      </c>
    </row>
    <row r="109">
      <c r="A109" s="3" t="s">
        <v>541</v>
      </c>
      <c r="B109" s="3"/>
      <c r="C109" s="74"/>
      <c r="D109" s="74"/>
      <c r="E109" s="74"/>
      <c r="F109" s="74"/>
      <c r="G109" s="74"/>
      <c r="H109" s="74"/>
      <c r="I109" s="74"/>
      <c r="J109" s="74"/>
      <c r="K109" s="74"/>
      <c r="L109" s="74"/>
      <c r="M109" s="74"/>
      <c r="N109" s="78">
        <f>Sum(C109:M109)</f>
        <v>0</v>
      </c>
    </row>
    <row r="110">
      <c r="A110" s="3"/>
      <c r="B110" s="3"/>
      <c r="C110" s="74"/>
      <c r="D110" s="74"/>
      <c r="E110" s="74"/>
      <c r="F110" s="74"/>
      <c r="G110" s="74"/>
      <c r="H110" s="74"/>
      <c r="I110" s="74"/>
      <c r="J110" s="74"/>
      <c r="K110" s="74"/>
      <c r="L110" s="74"/>
      <c r="M110" s="74"/>
      <c r="N110" s="78"/>
    </row>
    <row r="111">
      <c r="A111" s="3" t="s">
        <v>542</v>
      </c>
      <c r="B111" s="3"/>
      <c r="C111" s="74">
        <v>0</v>
      </c>
      <c r="D111" s="74">
        <v>0</v>
      </c>
      <c r="E111" s="74">
        <v>0</v>
      </c>
      <c r="F111" s="74">
        <v>0</v>
      </c>
      <c r="G111" s="74">
        <v>0</v>
      </c>
      <c r="H111" s="74">
        <v>0</v>
      </c>
      <c r="I111" s="74">
        <v>0</v>
      </c>
      <c r="J111" s="74">
        <v>0</v>
      </c>
      <c r="K111" s="74">
        <v>0</v>
      </c>
      <c r="L111" s="74">
        <v>0</v>
      </c>
      <c r="M111" s="74">
        <v>0</v>
      </c>
      <c r="N111" s="78">
        <f>Sum(C111:M111)</f>
        <v>0</v>
      </c>
    </row>
    <row r="113">
      <c r="A113" s="22" t="s">
        <v>543</v>
      </c>
      <c r="C113" s="22" t="s">
        <v>363</v>
      </c>
      <c r="D113" s="22"/>
      <c r="E113" s="22"/>
      <c r="F113" s="22"/>
      <c r="G113" s="22"/>
      <c r="H113" s="22"/>
      <c r="I113" s="22"/>
      <c r="J113" s="22"/>
      <c r="K113" s="22"/>
      <c r="L113" s="22"/>
      <c r="M113" s="22"/>
    </row>
    <row r="114">
      <c r="A114" s="22"/>
      <c r="C114" s="22">
        <v>2026</v>
      </c>
      <c r="D114" s="22">
        <v>2027</v>
      </c>
      <c r="E114" s="22">
        <v>2028</v>
      </c>
      <c r="F114" s="22">
        <v>2029</v>
      </c>
      <c r="G114" s="22">
        <v>2030</v>
      </c>
      <c r="H114" s="22">
        <v>2031</v>
      </c>
      <c r="I114" s="22">
        <v>2032</v>
      </c>
      <c r="J114" s="22">
        <v>2033</v>
      </c>
      <c r="K114" s="22">
        <v>2034</v>
      </c>
      <c r="L114" s="22">
        <v>2035</v>
      </c>
      <c r="M114" s="22">
        <v>2036</v>
      </c>
    </row>
    <row r="115">
      <c r="A115" s="3"/>
      <c r="B115" s="3"/>
      <c r="C115" s="74"/>
      <c r="D115" s="74"/>
      <c r="E115" s="74"/>
      <c r="F115" s="74"/>
      <c r="G115" s="74"/>
      <c r="H115" s="74"/>
      <c r="I115" s="74"/>
      <c r="J115" s="74"/>
      <c r="K115" s="74"/>
      <c r="L115" s="74"/>
      <c r="M115" s="74"/>
      <c r="N115" s="78">
        <f>Sum(C115:M115)</f>
        <v>0</v>
      </c>
    </row>
    <row r="118">
      <c r="A118" s="22" t="s">
        <v>473</v>
      </c>
      <c r="C118" s="22" t="s">
        <v>544</v>
      </c>
      <c r="D118" s="22"/>
      <c r="E118" s="22"/>
      <c r="F118" s="22"/>
      <c r="G118" s="22"/>
      <c r="H118" s="22"/>
      <c r="I118" s="22"/>
      <c r="J118" s="22"/>
      <c r="K118" s="22"/>
      <c r="L118" s="22"/>
      <c r="M118" s="22"/>
    </row>
    <row r="119">
      <c r="A119" s="22"/>
      <c r="C119" s="22">
        <v>2026</v>
      </c>
      <c r="D119" s="22">
        <v>2027</v>
      </c>
      <c r="E119" s="22">
        <v>2028</v>
      </c>
      <c r="F119" s="22">
        <v>2029</v>
      </c>
      <c r="G119" s="22">
        <v>2030</v>
      </c>
      <c r="H119" s="22">
        <v>2031</v>
      </c>
      <c r="I119" s="22">
        <v>2032</v>
      </c>
      <c r="J119" s="22">
        <v>2033</v>
      </c>
      <c r="K119" s="22">
        <v>2034</v>
      </c>
      <c r="L119" s="22">
        <v>2035</v>
      </c>
      <c r="M119" s="22">
        <v>2036</v>
      </c>
    </row>
    <row r="120">
      <c r="A120" s="3" t="s">
        <v>545</v>
      </c>
      <c r="B120" s="3"/>
      <c r="C120" s="90">
        <v>0</v>
      </c>
      <c r="D120" s="90">
        <v>0</v>
      </c>
      <c r="E120" s="90">
        <v>0</v>
      </c>
      <c r="F120" s="90">
        <v>0</v>
      </c>
      <c r="G120" s="90">
        <v>0</v>
      </c>
      <c r="H120" s="90">
        <v>0</v>
      </c>
      <c r="I120" s="90">
        <v>0</v>
      </c>
      <c r="J120" s="90">
        <v>0</v>
      </c>
      <c r="K120" s="90">
        <v>0</v>
      </c>
      <c r="L120" s="90">
        <v>0</v>
      </c>
      <c r="M120" s="90">
        <v>0</v>
      </c>
    </row>
    <row r="121">
      <c r="A121" s="3" t="s">
        <v>546</v>
      </c>
      <c r="B121" s="3"/>
      <c r="C121" s="90">
        <v>0</v>
      </c>
      <c r="D121" s="90">
        <v>0</v>
      </c>
      <c r="E121" s="90">
        <v>0</v>
      </c>
      <c r="F121" s="90">
        <v>0</v>
      </c>
      <c r="G121" s="90">
        <v>0</v>
      </c>
      <c r="H121" s="90">
        <v>0</v>
      </c>
      <c r="I121" s="90">
        <v>0</v>
      </c>
      <c r="J121" s="90">
        <v>0</v>
      </c>
      <c r="K121" s="90">
        <v>0</v>
      </c>
      <c r="L121" s="90">
        <v>0</v>
      </c>
      <c r="M121" s="90">
        <v>0</v>
      </c>
    </row>
    <row r="122">
      <c r="A122" s="3" t="s">
        <v>547</v>
      </c>
      <c r="B122" s="3"/>
      <c r="C122" s="90">
        <v>0</v>
      </c>
      <c r="D122" s="90">
        <v>0</v>
      </c>
      <c r="E122" s="90">
        <v>0</v>
      </c>
      <c r="F122" s="90">
        <v>0</v>
      </c>
      <c r="G122" s="90">
        <v>0</v>
      </c>
      <c r="H122" s="90">
        <v>0</v>
      </c>
      <c r="I122" s="90">
        <v>0</v>
      </c>
      <c r="J122" s="90">
        <v>0</v>
      </c>
      <c r="K122" s="90">
        <v>0</v>
      </c>
      <c r="L122" s="90">
        <v>0</v>
      </c>
      <c r="M122" s="90">
        <v>0</v>
      </c>
    </row>
    <row r="123">
      <c r="A123" s="3" t="s">
        <v>548</v>
      </c>
      <c r="B123" s="3"/>
      <c r="C123" s="90">
        <v>0</v>
      </c>
      <c r="D123" s="90">
        <v>0</v>
      </c>
      <c r="E123" s="90">
        <v>0</v>
      </c>
      <c r="F123" s="90">
        <v>0</v>
      </c>
      <c r="G123" s="90">
        <v>0</v>
      </c>
      <c r="H123" s="90">
        <v>0</v>
      </c>
      <c r="I123" s="90">
        <v>0</v>
      </c>
      <c r="J123" s="90">
        <v>0</v>
      </c>
      <c r="K123" s="90">
        <v>0</v>
      </c>
      <c r="L123" s="90">
        <v>0</v>
      </c>
      <c r="M123" s="90">
        <v>0</v>
      </c>
    </row>
    <row r="124">
      <c r="A124" s="3" t="s">
        <v>549</v>
      </c>
      <c r="B124" s="3"/>
      <c r="C124" s="90">
        <v>0</v>
      </c>
      <c r="D124" s="90">
        <v>0</v>
      </c>
      <c r="E124" s="90">
        <v>0</v>
      </c>
      <c r="F124" s="90">
        <v>0</v>
      </c>
      <c r="G124" s="90">
        <v>0</v>
      </c>
      <c r="H124" s="90">
        <v>0</v>
      </c>
      <c r="I124" s="90">
        <v>0</v>
      </c>
      <c r="J124" s="90">
        <v>0</v>
      </c>
      <c r="K124" s="90">
        <v>0</v>
      </c>
      <c r="L124" s="90">
        <v>0</v>
      </c>
      <c r="M124" s="90">
        <v>0</v>
      </c>
    </row>
    <row r="125">
      <c r="A125" s="3" t="s">
        <v>550</v>
      </c>
      <c r="B125" s="3"/>
      <c r="C125" s="90">
        <v>0</v>
      </c>
      <c r="D125" s="90">
        <v>0</v>
      </c>
      <c r="E125" s="90">
        <v>0</v>
      </c>
      <c r="F125" s="90">
        <v>0</v>
      </c>
      <c r="G125" s="90">
        <v>0</v>
      </c>
      <c r="H125" s="90">
        <v>0</v>
      </c>
      <c r="I125" s="90">
        <v>0</v>
      </c>
      <c r="J125" s="90">
        <v>0</v>
      </c>
      <c r="K125" s="90">
        <v>0</v>
      </c>
      <c r="L125" s="90">
        <v>0</v>
      </c>
      <c r="M125" s="90">
        <v>0</v>
      </c>
    </row>
    <row r="126">
      <c r="A126" s="3" t="s">
        <v>551</v>
      </c>
      <c r="B126" s="3"/>
      <c r="C126" s="90">
        <v>0</v>
      </c>
      <c r="D126" s="90">
        <v>0</v>
      </c>
      <c r="E126" s="90"/>
      <c r="F126" s="90">
        <v>0</v>
      </c>
      <c r="G126" s="90"/>
      <c r="H126" s="90">
        <v>0</v>
      </c>
      <c r="I126" s="90"/>
      <c r="J126" s="90"/>
      <c r="K126" s="90"/>
      <c r="L126" s="90"/>
      <c r="M126" s="90">
        <v>0</v>
      </c>
    </row>
    <row r="128">
      <c r="A128" s="25" t="s">
        <v>134</v>
      </c>
      <c r="B128" s="25"/>
      <c r="C128" s="25"/>
      <c r="D128" s="25"/>
      <c r="E128" s="25"/>
      <c r="F128" s="25"/>
      <c r="G128" s="25"/>
      <c r="H128" s="25"/>
      <c r="I128" s="25"/>
      <c r="J128" s="25"/>
      <c r="K128" s="25"/>
      <c r="L128" s="24"/>
      <c r="M128" s="24"/>
    </row>
    <row r="131">
      <c r="A131" s="22" t="s">
        <v>363</v>
      </c>
      <c r="C131" s="22" t="s">
        <v>502</v>
      </c>
      <c r="D131" s="22"/>
      <c r="E131" s="22"/>
      <c r="F131" s="22"/>
      <c r="G131" s="22"/>
      <c r="H131" s="22"/>
      <c r="I131" s="22"/>
      <c r="J131" s="22"/>
      <c r="K131" s="22"/>
      <c r="L131" s="22"/>
      <c r="M131" s="22"/>
    </row>
    <row r="132">
      <c r="A132" s="22"/>
      <c r="C132" s="22">
        <v>2026</v>
      </c>
      <c r="D132" s="22">
        <v>2027</v>
      </c>
      <c r="E132" s="22">
        <v>2028</v>
      </c>
      <c r="F132" s="22">
        <v>2029</v>
      </c>
      <c r="G132" s="22">
        <v>2030</v>
      </c>
      <c r="H132" s="22">
        <v>2031</v>
      </c>
      <c r="I132" s="22">
        <v>2032</v>
      </c>
      <c r="J132" s="22">
        <v>2033</v>
      </c>
      <c r="K132" s="22">
        <v>2034</v>
      </c>
      <c r="L132" s="22">
        <v>2035</v>
      </c>
      <c r="M132" s="22">
        <v>2036</v>
      </c>
    </row>
    <row r="133">
      <c r="A133" s="3" t="s">
        <v>504</v>
      </c>
      <c r="B133" s="3"/>
      <c r="C133" s="82">
        <v>0</v>
      </c>
      <c r="D133" s="82">
        <v>0</v>
      </c>
      <c r="E133" s="82">
        <v>0</v>
      </c>
      <c r="F133" s="82">
        <v>0</v>
      </c>
      <c r="G133" s="82">
        <v>0</v>
      </c>
      <c r="H133" s="82">
        <v>0</v>
      </c>
      <c r="I133" s="82">
        <v>0</v>
      </c>
      <c r="J133" s="82">
        <v>0</v>
      </c>
      <c r="K133" s="82">
        <v>0</v>
      </c>
      <c r="L133" s="82">
        <v>0</v>
      </c>
      <c r="M133" s="82">
        <v>0</v>
      </c>
    </row>
    <row r="134">
      <c r="A134" s="3" t="s">
        <v>506</v>
      </c>
      <c r="B134" s="3"/>
      <c r="C134" s="83">
        <v>0</v>
      </c>
      <c r="D134" s="83">
        <v>0</v>
      </c>
      <c r="E134" s="83">
        <v>0</v>
      </c>
      <c r="F134" s="83">
        <v>0</v>
      </c>
      <c r="G134" s="83">
        <v>0</v>
      </c>
      <c r="H134" s="83">
        <v>0</v>
      </c>
      <c r="I134" s="83">
        <v>0</v>
      </c>
      <c r="J134" s="83">
        <v>0</v>
      </c>
      <c r="K134" s="83">
        <v>0</v>
      </c>
      <c r="L134" s="83">
        <v>0</v>
      </c>
      <c r="M134" s="83">
        <v>0</v>
      </c>
    </row>
    <row r="135">
      <c r="A135" s="3" t="s">
        <v>507</v>
      </c>
      <c r="B135" s="3"/>
      <c r="C135" s="83">
        <v>0</v>
      </c>
      <c r="D135" s="83">
        <v>0</v>
      </c>
      <c r="E135" s="83">
        <v>0</v>
      </c>
      <c r="F135" s="83">
        <v>0</v>
      </c>
      <c r="G135" s="83">
        <v>0</v>
      </c>
      <c r="H135" s="83">
        <v>0</v>
      </c>
      <c r="I135" s="83">
        <v>0</v>
      </c>
      <c r="J135" s="83">
        <v>0</v>
      </c>
      <c r="K135" s="83">
        <v>0</v>
      </c>
      <c r="L135" s="83">
        <v>0</v>
      </c>
      <c r="M135" s="83">
        <v>0</v>
      </c>
    </row>
    <row r="136">
      <c r="A136" s="3" t="s">
        <v>508</v>
      </c>
      <c r="B136" s="3"/>
      <c r="C136" s="83">
        <v>0</v>
      </c>
      <c r="D136" s="83">
        <v>0</v>
      </c>
      <c r="E136" s="83">
        <v>0</v>
      </c>
      <c r="F136" s="83">
        <v>0</v>
      </c>
      <c r="G136" s="83">
        <v>0</v>
      </c>
      <c r="H136" s="83">
        <v>0</v>
      </c>
      <c r="I136" s="83">
        <v>0</v>
      </c>
      <c r="J136" s="83">
        <v>0</v>
      </c>
      <c r="K136" s="83">
        <v>0</v>
      </c>
      <c r="L136" s="83">
        <v>0</v>
      </c>
      <c r="M136" s="83">
        <v>0</v>
      </c>
    </row>
    <row r="137">
      <c r="A137" s="3" t="s">
        <v>509</v>
      </c>
      <c r="B137" s="3"/>
      <c r="C137" s="83">
        <v>0</v>
      </c>
      <c r="D137" s="83">
        <v>0</v>
      </c>
      <c r="E137" s="83">
        <v>0</v>
      </c>
      <c r="F137" s="83">
        <v>0</v>
      </c>
      <c r="G137" s="83">
        <v>0</v>
      </c>
      <c r="H137" s="83">
        <v>0</v>
      </c>
      <c r="I137" s="83">
        <v>0</v>
      </c>
      <c r="J137" s="83">
        <v>0</v>
      </c>
      <c r="K137" s="83">
        <v>0</v>
      </c>
      <c r="L137" s="83">
        <v>0</v>
      </c>
      <c r="M137" s="83">
        <v>0</v>
      </c>
    </row>
    <row r="138">
      <c r="A138" s="3" t="s">
        <v>510</v>
      </c>
      <c r="B138" s="3"/>
      <c r="C138" s="83">
        <v>0</v>
      </c>
      <c r="D138" s="83">
        <v>0</v>
      </c>
      <c r="E138" s="83">
        <v>0</v>
      </c>
      <c r="F138" s="83">
        <v>0</v>
      </c>
      <c r="G138" s="83">
        <v>0</v>
      </c>
      <c r="H138" s="83">
        <v>0</v>
      </c>
      <c r="I138" s="83">
        <v>0</v>
      </c>
      <c r="J138" s="83">
        <v>0</v>
      </c>
      <c r="K138" s="83">
        <v>0</v>
      </c>
      <c r="L138" s="83">
        <v>0</v>
      </c>
      <c r="M138" s="83">
        <v>0</v>
      </c>
    </row>
    <row r="142">
      <c r="A142" s="22" t="s">
        <v>529</v>
      </c>
      <c r="C142" s="22" t="s">
        <v>363</v>
      </c>
      <c r="D142" s="22"/>
      <c r="E142" s="22"/>
      <c r="F142" s="22"/>
      <c r="G142" s="22"/>
      <c r="H142" s="22"/>
      <c r="I142" s="22"/>
      <c r="J142" s="22"/>
      <c r="K142" s="22"/>
      <c r="L142" s="22"/>
      <c r="M142" s="22"/>
    </row>
    <row r="143">
      <c r="A143" s="22"/>
      <c r="B143" s="3"/>
      <c r="C143" s="22">
        <v>2026</v>
      </c>
      <c r="D143" s="22">
        <v>2027</v>
      </c>
      <c r="E143" s="22">
        <v>2028</v>
      </c>
      <c r="F143" s="22">
        <v>2029</v>
      </c>
      <c r="G143" s="22">
        <v>2030</v>
      </c>
      <c r="H143" s="22">
        <v>2031</v>
      </c>
      <c r="I143" s="22">
        <v>2032</v>
      </c>
      <c r="J143" s="22">
        <v>2033</v>
      </c>
      <c r="K143" s="22">
        <v>2034</v>
      </c>
      <c r="L143" s="22">
        <v>2035</v>
      </c>
      <c r="M143" s="22">
        <v>2036</v>
      </c>
      <c r="N143" s="22" t="s">
        <v>530</v>
      </c>
    </row>
    <row r="144">
      <c r="A144" s="3" t="s">
        <v>117</v>
      </c>
      <c r="B144" s="3"/>
      <c r="C144" s="74">
        <v>0</v>
      </c>
      <c r="D144" s="74">
        <v>0</v>
      </c>
      <c r="E144" s="74">
        <v>0</v>
      </c>
      <c r="F144" s="74">
        <v>0</v>
      </c>
      <c r="G144" s="74">
        <v>0</v>
      </c>
      <c r="H144" s="74">
        <v>0</v>
      </c>
      <c r="I144" s="74">
        <v>0</v>
      </c>
      <c r="J144" s="74">
        <v>0</v>
      </c>
      <c r="K144" s="74">
        <v>0</v>
      </c>
      <c r="L144" s="74">
        <v>0</v>
      </c>
      <c r="M144" s="74">
        <v>0</v>
      </c>
      <c r="N144" s="78">
        <f>Sum(C144:M144)</f>
        <v>0</v>
      </c>
      <c r="O144" s="76" t="e">
        <f>(N144/N151)</f>
        <v>#DIV/0!</v>
      </c>
      <c r="P144" s="0" t="s">
        <v>531</v>
      </c>
    </row>
    <row r="145">
      <c r="A145" s="3" t="s">
        <v>121</v>
      </c>
      <c r="B145" s="3"/>
      <c r="C145" s="74">
        <v>0</v>
      </c>
      <c r="D145" s="74">
        <v>0</v>
      </c>
      <c r="E145" s="74">
        <v>0</v>
      </c>
      <c r="F145" s="74">
        <v>0</v>
      </c>
      <c r="G145" s="74">
        <v>0</v>
      </c>
      <c r="H145" s="74">
        <v>0</v>
      </c>
      <c r="I145" s="74">
        <v>0</v>
      </c>
      <c r="J145" s="74">
        <v>0</v>
      </c>
      <c r="K145" s="74">
        <v>0</v>
      </c>
      <c r="L145" s="74">
        <v>0</v>
      </c>
      <c r="M145" s="74">
        <v>0</v>
      </c>
      <c r="N145" s="78">
        <f>Sum(C145:M145)</f>
        <v>0</v>
      </c>
      <c r="O145" s="76" t="e">
        <f>(N145/N151)</f>
        <v>#DIV/0!</v>
      </c>
      <c r="P145" s="0" t="s">
        <v>532</v>
      </c>
    </row>
    <row r="146">
      <c r="A146" s="3" t="s">
        <v>122</v>
      </c>
      <c r="B146" s="3"/>
      <c r="C146" s="74">
        <v>0</v>
      </c>
      <c r="D146" s="74">
        <v>0</v>
      </c>
      <c r="E146" s="74">
        <v>0</v>
      </c>
      <c r="F146" s="74">
        <v>0</v>
      </c>
      <c r="G146" s="74">
        <v>0</v>
      </c>
      <c r="H146" s="74">
        <v>0</v>
      </c>
      <c r="I146" s="74">
        <v>0</v>
      </c>
      <c r="J146" s="74">
        <v>0</v>
      </c>
      <c r="K146" s="74">
        <v>0</v>
      </c>
      <c r="L146" s="74">
        <v>0</v>
      </c>
      <c r="M146" s="74">
        <v>0</v>
      </c>
      <c r="N146" s="78">
        <f>Sum(C146:M146)</f>
        <v>0</v>
      </c>
      <c r="O146" s="76" t="e">
        <f>(N146/N151)</f>
        <v>#DIV/0!</v>
      </c>
      <c r="P146" s="0" t="s">
        <v>533</v>
      </c>
    </row>
    <row r="147">
      <c r="A147" s="3" t="s">
        <v>124</v>
      </c>
      <c r="B147" s="3"/>
      <c r="C147" s="74">
        <v>0</v>
      </c>
      <c r="D147" s="74">
        <v>0</v>
      </c>
      <c r="E147" s="74">
        <v>0</v>
      </c>
      <c r="F147" s="74">
        <v>0</v>
      </c>
      <c r="G147" s="74">
        <v>0</v>
      </c>
      <c r="H147" s="74">
        <v>0</v>
      </c>
      <c r="I147" s="74">
        <v>0</v>
      </c>
      <c r="J147" s="74">
        <v>0</v>
      </c>
      <c r="K147" s="74">
        <v>0</v>
      </c>
      <c r="L147" s="74">
        <v>0</v>
      </c>
      <c r="M147" s="74">
        <v>0</v>
      </c>
      <c r="N147" s="78">
        <f>Sum(C147:M147)</f>
        <v>0</v>
      </c>
      <c r="O147" s="76" t="e">
        <f>(N147/N151)</f>
        <v>#DIV/0!</v>
      </c>
      <c r="P147" s="0" t="s">
        <v>534</v>
      </c>
    </row>
    <row r="148">
      <c r="A148" s="3" t="s">
        <v>535</v>
      </c>
      <c r="B148" s="3"/>
      <c r="C148" s="74">
        <v>0</v>
      </c>
      <c r="D148" s="74">
        <v>0</v>
      </c>
      <c r="E148" s="74">
        <v>0</v>
      </c>
      <c r="F148" s="74">
        <v>0</v>
      </c>
      <c r="G148" s="74">
        <v>0</v>
      </c>
      <c r="H148" s="74">
        <v>0</v>
      </c>
      <c r="I148" s="74">
        <v>0</v>
      </c>
      <c r="J148" s="74">
        <v>0</v>
      </c>
      <c r="K148" s="74">
        <v>0</v>
      </c>
      <c r="L148" s="74">
        <v>0</v>
      </c>
      <c r="M148" s="74">
        <v>0</v>
      </c>
      <c r="N148" s="78">
        <f>Sum(C148:M148)</f>
        <v>0</v>
      </c>
      <c r="O148" s="76" t="e">
        <f>(N148/N151)</f>
        <v>#DIV/0!</v>
      </c>
      <c r="P148" s="0" t="s">
        <v>536</v>
      </c>
    </row>
    <row r="149">
      <c r="A149" s="3" t="s">
        <v>537</v>
      </c>
      <c r="B149" s="3"/>
      <c r="C149" s="74">
        <v>0</v>
      </c>
      <c r="D149" s="74">
        <v>0</v>
      </c>
      <c r="E149" s="74">
        <v>0</v>
      </c>
      <c r="F149" s="74">
        <v>0</v>
      </c>
      <c r="G149" s="74">
        <v>0</v>
      </c>
      <c r="H149" s="74">
        <v>0</v>
      </c>
      <c r="I149" s="74">
        <v>0</v>
      </c>
      <c r="J149" s="74">
        <v>0</v>
      </c>
      <c r="K149" s="74">
        <v>0</v>
      </c>
      <c r="L149" s="74">
        <v>0</v>
      </c>
      <c r="M149" s="74">
        <v>0</v>
      </c>
      <c r="N149" s="78">
        <f>Sum(C149:M149)</f>
        <v>0</v>
      </c>
      <c r="O149" s="76" t="e">
        <f>(N149/N151)</f>
        <v>#DIV/0!</v>
      </c>
      <c r="P149" s="0" t="s">
        <v>538</v>
      </c>
    </row>
    <row r="150">
      <c r="A150" s="3" t="s">
        <v>539</v>
      </c>
      <c r="B150" s="3"/>
      <c r="C150" s="74">
        <v>0</v>
      </c>
      <c r="D150" s="74">
        <v>0</v>
      </c>
      <c r="E150" s="74">
        <v>0</v>
      </c>
      <c r="F150" s="74">
        <v>0</v>
      </c>
      <c r="G150" s="74">
        <v>0</v>
      </c>
      <c r="H150" s="74">
        <v>0</v>
      </c>
      <c r="I150" s="74">
        <v>0</v>
      </c>
      <c r="J150" s="74">
        <v>0</v>
      </c>
      <c r="K150" s="74">
        <v>0</v>
      </c>
      <c r="L150" s="74">
        <v>0</v>
      </c>
      <c r="M150" s="74">
        <v>0</v>
      </c>
      <c r="N150" s="78">
        <f>Sum(C150:M150)</f>
        <v>0</v>
      </c>
      <c r="O150" s="76" t="e">
        <f>(N150/N151)</f>
        <v>#DIV/0!</v>
      </c>
      <c r="P150" s="0" t="s">
        <v>540</v>
      </c>
    </row>
    <row r="151">
      <c r="A151" s="3" t="s">
        <v>541</v>
      </c>
      <c r="B151" s="3"/>
      <c r="C151" s="74"/>
      <c r="D151" s="74"/>
      <c r="E151" s="74"/>
      <c r="F151" s="74"/>
      <c r="G151" s="74"/>
      <c r="H151" s="74"/>
      <c r="I151" s="74"/>
      <c r="J151" s="74"/>
      <c r="K151" s="74"/>
      <c r="L151" s="74"/>
      <c r="M151" s="74"/>
      <c r="N151" s="78">
        <f>Sum(C151:M151)</f>
        <v>0</v>
      </c>
    </row>
    <row r="152">
      <c r="A152" s="3"/>
      <c r="B152" s="3"/>
      <c r="C152" s="74"/>
      <c r="D152" s="74"/>
      <c r="E152" s="74"/>
      <c r="F152" s="74"/>
      <c r="G152" s="74"/>
      <c r="H152" s="74"/>
      <c r="I152" s="74"/>
      <c r="J152" s="74"/>
      <c r="K152" s="74"/>
      <c r="L152" s="74"/>
      <c r="M152" s="74"/>
      <c r="N152" s="78"/>
    </row>
    <row r="153">
      <c r="A153" s="3" t="s">
        <v>542</v>
      </c>
      <c r="B153" s="3"/>
      <c r="C153" s="74">
        <v>0</v>
      </c>
      <c r="D153" s="74">
        <v>0</v>
      </c>
      <c r="E153" s="74">
        <v>0</v>
      </c>
      <c r="F153" s="74">
        <v>0</v>
      </c>
      <c r="G153" s="74">
        <v>0</v>
      </c>
      <c r="H153" s="74">
        <v>0</v>
      </c>
      <c r="I153" s="74">
        <v>0</v>
      </c>
      <c r="J153" s="74">
        <v>0</v>
      </c>
      <c r="K153" s="74">
        <v>0</v>
      </c>
      <c r="L153" s="74">
        <v>0</v>
      </c>
      <c r="M153" s="74">
        <v>0</v>
      </c>
      <c r="N153" s="78">
        <f>Sum(C153:M153)</f>
        <v>0</v>
      </c>
    </row>
    <row r="155">
      <c r="A155" s="22" t="s">
        <v>543</v>
      </c>
      <c r="C155" s="22" t="s">
        <v>363</v>
      </c>
      <c r="D155" s="22"/>
      <c r="E155" s="22"/>
      <c r="F155" s="22"/>
      <c r="G155" s="22"/>
      <c r="H155" s="22"/>
      <c r="I155" s="22"/>
      <c r="J155" s="22"/>
      <c r="K155" s="22"/>
      <c r="L155" s="22"/>
      <c r="M155" s="22"/>
    </row>
    <row r="156">
      <c r="A156" s="22"/>
      <c r="C156" s="22">
        <v>2026</v>
      </c>
      <c r="D156" s="22">
        <v>2027</v>
      </c>
      <c r="E156" s="22">
        <v>2028</v>
      </c>
      <c r="F156" s="22">
        <v>2029</v>
      </c>
      <c r="G156" s="22">
        <v>2030</v>
      </c>
      <c r="H156" s="22">
        <v>2031</v>
      </c>
      <c r="I156" s="22">
        <v>2032</v>
      </c>
      <c r="J156" s="22">
        <v>2033</v>
      </c>
      <c r="K156" s="22">
        <v>2034</v>
      </c>
      <c r="L156" s="22">
        <v>2035</v>
      </c>
      <c r="M156" s="22">
        <v>2036</v>
      </c>
    </row>
    <row r="157">
      <c r="A157" s="3"/>
      <c r="B157" s="3"/>
      <c r="C157" s="74"/>
      <c r="D157" s="74"/>
      <c r="E157" s="74"/>
      <c r="F157" s="74"/>
      <c r="G157" s="74"/>
      <c r="H157" s="74"/>
      <c r="I157" s="74"/>
      <c r="J157" s="74"/>
      <c r="K157" s="74"/>
      <c r="L157" s="74"/>
      <c r="M157" s="74"/>
      <c r="N157" s="78">
        <f>Sum(C157:M157)</f>
        <v>0</v>
      </c>
    </row>
    <row r="160">
      <c r="A160" s="22" t="s">
        <v>473</v>
      </c>
      <c r="C160" s="22" t="s">
        <v>544</v>
      </c>
      <c r="D160" s="22"/>
      <c r="E160" s="22"/>
      <c r="F160" s="22"/>
      <c r="G160" s="22"/>
      <c r="H160" s="22"/>
      <c r="I160" s="22"/>
      <c r="J160" s="22"/>
      <c r="K160" s="22"/>
      <c r="L160" s="22"/>
      <c r="M160" s="22"/>
    </row>
    <row r="161">
      <c r="A161" s="22"/>
      <c r="C161" s="22">
        <v>2026</v>
      </c>
      <c r="D161" s="22">
        <v>2027</v>
      </c>
      <c r="E161" s="22">
        <v>2028</v>
      </c>
      <c r="F161" s="22">
        <v>2029</v>
      </c>
      <c r="G161" s="22">
        <v>2030</v>
      </c>
      <c r="H161" s="22">
        <v>2031</v>
      </c>
      <c r="I161" s="22">
        <v>2032</v>
      </c>
      <c r="J161" s="22">
        <v>2033</v>
      </c>
      <c r="K161" s="22">
        <v>2034</v>
      </c>
      <c r="L161" s="22">
        <v>2035</v>
      </c>
      <c r="M161" s="22">
        <v>2036</v>
      </c>
    </row>
    <row r="162">
      <c r="A162" s="3" t="s">
        <v>545</v>
      </c>
      <c r="B162" s="3"/>
      <c r="C162" s="90">
        <v>0</v>
      </c>
      <c r="D162" s="90">
        <v>0</v>
      </c>
      <c r="E162" s="90">
        <v>0</v>
      </c>
      <c r="F162" s="90">
        <v>0</v>
      </c>
      <c r="G162" s="90">
        <v>0</v>
      </c>
      <c r="H162" s="90">
        <v>0</v>
      </c>
      <c r="I162" s="90">
        <v>0</v>
      </c>
      <c r="J162" s="90">
        <v>0</v>
      </c>
      <c r="K162" s="90">
        <v>0</v>
      </c>
      <c r="L162" s="90">
        <v>0</v>
      </c>
      <c r="M162" s="90">
        <v>0</v>
      </c>
    </row>
    <row r="163">
      <c r="A163" s="3" t="s">
        <v>546</v>
      </c>
      <c r="B163" s="3"/>
      <c r="C163" s="90">
        <v>0</v>
      </c>
      <c r="D163" s="90">
        <v>0</v>
      </c>
      <c r="E163" s="90">
        <v>0</v>
      </c>
      <c r="F163" s="90">
        <v>0</v>
      </c>
      <c r="G163" s="90">
        <v>0</v>
      </c>
      <c r="H163" s="90">
        <v>0</v>
      </c>
      <c r="I163" s="90">
        <v>0</v>
      </c>
      <c r="J163" s="90">
        <v>0</v>
      </c>
      <c r="K163" s="90">
        <v>0</v>
      </c>
      <c r="L163" s="90">
        <v>0</v>
      </c>
      <c r="M163" s="90">
        <v>0</v>
      </c>
    </row>
    <row r="164">
      <c r="A164" s="3" t="s">
        <v>547</v>
      </c>
      <c r="B164" s="3"/>
      <c r="C164" s="90">
        <v>0</v>
      </c>
      <c r="D164" s="90">
        <v>0</v>
      </c>
      <c r="E164" s="90">
        <v>0</v>
      </c>
      <c r="F164" s="90">
        <v>0</v>
      </c>
      <c r="G164" s="90">
        <v>0</v>
      </c>
      <c r="H164" s="90">
        <v>0</v>
      </c>
      <c r="I164" s="90">
        <v>0</v>
      </c>
      <c r="J164" s="90">
        <v>0</v>
      </c>
      <c r="K164" s="90">
        <v>0</v>
      </c>
      <c r="L164" s="90">
        <v>0</v>
      </c>
      <c r="M164" s="90">
        <v>0</v>
      </c>
    </row>
    <row r="165">
      <c r="A165" s="3" t="s">
        <v>548</v>
      </c>
      <c r="B165" s="3"/>
      <c r="C165" s="90">
        <v>0</v>
      </c>
      <c r="D165" s="90">
        <v>0</v>
      </c>
      <c r="E165" s="90">
        <v>0</v>
      </c>
      <c r="F165" s="90">
        <v>0</v>
      </c>
      <c r="G165" s="90">
        <v>0</v>
      </c>
      <c r="H165" s="90">
        <v>0</v>
      </c>
      <c r="I165" s="90">
        <v>0</v>
      </c>
      <c r="J165" s="90">
        <v>0</v>
      </c>
      <c r="K165" s="90">
        <v>0</v>
      </c>
      <c r="L165" s="90">
        <v>0</v>
      </c>
      <c r="M165" s="90">
        <v>0</v>
      </c>
    </row>
    <row r="166">
      <c r="A166" s="3" t="s">
        <v>549</v>
      </c>
      <c r="B166" s="3"/>
      <c r="C166" s="90">
        <v>0</v>
      </c>
      <c r="D166" s="90">
        <v>0</v>
      </c>
      <c r="E166" s="90">
        <v>0</v>
      </c>
      <c r="F166" s="90">
        <v>0</v>
      </c>
      <c r="G166" s="90">
        <v>0</v>
      </c>
      <c r="H166" s="90">
        <v>0</v>
      </c>
      <c r="I166" s="90">
        <v>0</v>
      </c>
      <c r="J166" s="90">
        <v>0</v>
      </c>
      <c r="K166" s="90">
        <v>0</v>
      </c>
      <c r="L166" s="90">
        <v>0</v>
      </c>
      <c r="M166" s="90">
        <v>0</v>
      </c>
    </row>
    <row r="167">
      <c r="A167" s="3" t="s">
        <v>550</v>
      </c>
      <c r="B167" s="3"/>
      <c r="C167" s="90">
        <v>0</v>
      </c>
      <c r="D167" s="90">
        <v>0</v>
      </c>
      <c r="E167" s="90">
        <v>0</v>
      </c>
      <c r="F167" s="90">
        <v>0</v>
      </c>
      <c r="G167" s="90">
        <v>0</v>
      </c>
      <c r="H167" s="90">
        <v>0</v>
      </c>
      <c r="I167" s="90">
        <v>0</v>
      </c>
      <c r="J167" s="90">
        <v>0</v>
      </c>
      <c r="K167" s="90">
        <v>0</v>
      </c>
      <c r="L167" s="90">
        <v>0</v>
      </c>
      <c r="M167" s="90">
        <v>0</v>
      </c>
    </row>
    <row r="168">
      <c r="A168" s="3" t="s">
        <v>551</v>
      </c>
      <c r="B168" s="3"/>
      <c r="C168" s="90">
        <v>0</v>
      </c>
      <c r="D168" s="90">
        <v>0</v>
      </c>
      <c r="E168" s="90"/>
      <c r="F168" s="90">
        <v>0</v>
      </c>
      <c r="G168" s="90"/>
      <c r="H168" s="90">
        <v>0</v>
      </c>
      <c r="I168" s="90"/>
      <c r="J168" s="90"/>
      <c r="K168" s="90"/>
      <c r="L168" s="90"/>
      <c r="M168" s="90">
        <v>0</v>
      </c>
    </row>
    <row r="170">
      <c r="A170" s="25" t="s">
        <v>135</v>
      </c>
      <c r="B170" s="25"/>
      <c r="C170" s="25"/>
      <c r="D170" s="25"/>
      <c r="E170" s="25"/>
      <c r="F170" s="25"/>
      <c r="G170" s="25"/>
      <c r="H170" s="25"/>
      <c r="I170" s="25"/>
      <c r="J170" s="25"/>
      <c r="K170" s="25"/>
      <c r="L170" s="24"/>
      <c r="M170" s="24"/>
    </row>
    <row r="173">
      <c r="A173" s="22" t="s">
        <v>363</v>
      </c>
      <c r="C173" s="22" t="s">
        <v>502</v>
      </c>
      <c r="D173" s="22"/>
      <c r="E173" s="22"/>
      <c r="F173" s="22"/>
      <c r="G173" s="22"/>
      <c r="H173" s="22"/>
      <c r="I173" s="22"/>
      <c r="J173" s="22"/>
      <c r="K173" s="22"/>
      <c r="L173" s="22"/>
      <c r="M173" s="22"/>
    </row>
    <row r="174">
      <c r="A174" s="22"/>
      <c r="C174" s="22">
        <v>2026</v>
      </c>
      <c r="D174" s="22">
        <v>2027</v>
      </c>
      <c r="E174" s="22">
        <v>2028</v>
      </c>
      <c r="F174" s="22">
        <v>2029</v>
      </c>
      <c r="G174" s="22">
        <v>2030</v>
      </c>
      <c r="H174" s="22">
        <v>2031</v>
      </c>
      <c r="I174" s="22">
        <v>2032</v>
      </c>
      <c r="J174" s="22">
        <v>2033</v>
      </c>
      <c r="K174" s="22">
        <v>2034</v>
      </c>
      <c r="L174" s="22">
        <v>2035</v>
      </c>
      <c r="M174" s="22">
        <v>2036</v>
      </c>
    </row>
    <row r="175">
      <c r="A175" s="3" t="s">
        <v>504</v>
      </c>
      <c r="B175" s="3"/>
      <c r="C175" s="82">
        <v>0</v>
      </c>
      <c r="D175" s="82">
        <v>0</v>
      </c>
      <c r="E175" s="82">
        <v>0</v>
      </c>
      <c r="F175" s="82">
        <v>0</v>
      </c>
      <c r="G175" s="82">
        <v>0</v>
      </c>
      <c r="H175" s="82">
        <v>0</v>
      </c>
      <c r="I175" s="82">
        <v>0</v>
      </c>
      <c r="J175" s="82">
        <v>0</v>
      </c>
      <c r="K175" s="82">
        <v>0</v>
      </c>
      <c r="L175" s="82">
        <v>0</v>
      </c>
      <c r="M175" s="82">
        <v>0</v>
      </c>
    </row>
    <row r="176">
      <c r="A176" s="3" t="s">
        <v>506</v>
      </c>
      <c r="B176" s="3"/>
      <c r="C176" s="83">
        <v>0</v>
      </c>
      <c r="D176" s="83">
        <v>0</v>
      </c>
      <c r="E176" s="83">
        <v>0</v>
      </c>
      <c r="F176" s="83">
        <v>0</v>
      </c>
      <c r="G176" s="83">
        <v>0</v>
      </c>
      <c r="H176" s="83">
        <v>0</v>
      </c>
      <c r="I176" s="83">
        <v>0</v>
      </c>
      <c r="J176" s="83">
        <v>0</v>
      </c>
      <c r="K176" s="83">
        <v>0</v>
      </c>
      <c r="L176" s="83">
        <v>0</v>
      </c>
      <c r="M176" s="83">
        <v>0</v>
      </c>
    </row>
    <row r="177">
      <c r="A177" s="3" t="s">
        <v>507</v>
      </c>
      <c r="B177" s="3"/>
      <c r="C177" s="83">
        <v>0</v>
      </c>
      <c r="D177" s="83">
        <v>0</v>
      </c>
      <c r="E177" s="83">
        <v>0</v>
      </c>
      <c r="F177" s="83">
        <v>0</v>
      </c>
      <c r="G177" s="83">
        <v>0</v>
      </c>
      <c r="H177" s="83">
        <v>0</v>
      </c>
      <c r="I177" s="83">
        <v>0</v>
      </c>
      <c r="J177" s="83">
        <v>0</v>
      </c>
      <c r="K177" s="83">
        <v>0</v>
      </c>
      <c r="L177" s="83">
        <v>0</v>
      </c>
      <c r="M177" s="83">
        <v>0</v>
      </c>
    </row>
    <row r="178">
      <c r="A178" s="3" t="s">
        <v>508</v>
      </c>
      <c r="B178" s="3"/>
      <c r="C178" s="83">
        <v>0</v>
      </c>
      <c r="D178" s="83">
        <v>0</v>
      </c>
      <c r="E178" s="83">
        <v>0</v>
      </c>
      <c r="F178" s="83">
        <v>0</v>
      </c>
      <c r="G178" s="83">
        <v>0</v>
      </c>
      <c r="H178" s="83">
        <v>0</v>
      </c>
      <c r="I178" s="83">
        <v>0</v>
      </c>
      <c r="J178" s="83">
        <v>0</v>
      </c>
      <c r="K178" s="83">
        <v>0</v>
      </c>
      <c r="L178" s="83">
        <v>0</v>
      </c>
      <c r="M178" s="83">
        <v>0</v>
      </c>
    </row>
    <row r="179">
      <c r="A179" s="3" t="s">
        <v>509</v>
      </c>
      <c r="B179" s="3"/>
      <c r="C179" s="83">
        <v>0</v>
      </c>
      <c r="D179" s="83">
        <v>0</v>
      </c>
      <c r="E179" s="83">
        <v>0</v>
      </c>
      <c r="F179" s="83">
        <v>0</v>
      </c>
      <c r="G179" s="83">
        <v>0</v>
      </c>
      <c r="H179" s="83">
        <v>0</v>
      </c>
      <c r="I179" s="83">
        <v>0</v>
      </c>
      <c r="J179" s="83">
        <v>0</v>
      </c>
      <c r="K179" s="83">
        <v>0</v>
      </c>
      <c r="L179" s="83">
        <v>0</v>
      </c>
      <c r="M179" s="83">
        <v>0</v>
      </c>
    </row>
    <row r="180">
      <c r="A180" s="3" t="s">
        <v>510</v>
      </c>
      <c r="B180" s="3"/>
      <c r="C180" s="83">
        <v>0</v>
      </c>
      <c r="D180" s="83">
        <v>0</v>
      </c>
      <c r="E180" s="83">
        <v>0</v>
      </c>
      <c r="F180" s="83">
        <v>0</v>
      </c>
      <c r="G180" s="83">
        <v>0</v>
      </c>
      <c r="H180" s="83">
        <v>0</v>
      </c>
      <c r="I180" s="83">
        <v>0</v>
      </c>
      <c r="J180" s="83">
        <v>0</v>
      </c>
      <c r="K180" s="83">
        <v>0</v>
      </c>
      <c r="L180" s="83">
        <v>0</v>
      </c>
      <c r="M180" s="83">
        <v>0</v>
      </c>
    </row>
    <row r="184">
      <c r="A184" s="22" t="s">
        <v>529</v>
      </c>
      <c r="C184" s="22" t="s">
        <v>363</v>
      </c>
      <c r="D184" s="22"/>
      <c r="E184" s="22"/>
      <c r="F184" s="22"/>
      <c r="G184" s="22"/>
      <c r="H184" s="22"/>
      <c r="I184" s="22"/>
      <c r="J184" s="22"/>
      <c r="K184" s="22"/>
      <c r="L184" s="22"/>
      <c r="M184" s="22"/>
    </row>
    <row r="185">
      <c r="A185" s="22"/>
      <c r="B185" s="3"/>
      <c r="C185" s="22">
        <v>2026</v>
      </c>
      <c r="D185" s="22">
        <v>2027</v>
      </c>
      <c r="E185" s="22">
        <v>2028</v>
      </c>
      <c r="F185" s="22">
        <v>2029</v>
      </c>
      <c r="G185" s="22">
        <v>2030</v>
      </c>
      <c r="H185" s="22">
        <v>2031</v>
      </c>
      <c r="I185" s="22">
        <v>2032</v>
      </c>
      <c r="J185" s="22">
        <v>2033</v>
      </c>
      <c r="K185" s="22">
        <v>2034</v>
      </c>
      <c r="L185" s="22">
        <v>2035</v>
      </c>
      <c r="M185" s="22">
        <v>2036</v>
      </c>
      <c r="N185" s="22" t="s">
        <v>530</v>
      </c>
    </row>
    <row r="186">
      <c r="A186" s="3" t="s">
        <v>117</v>
      </c>
      <c r="B186" s="3"/>
      <c r="C186" s="74">
        <v>0</v>
      </c>
      <c r="D186" s="74">
        <v>0</v>
      </c>
      <c r="E186" s="74">
        <v>0</v>
      </c>
      <c r="F186" s="74">
        <v>0</v>
      </c>
      <c r="G186" s="74">
        <v>0</v>
      </c>
      <c r="H186" s="74">
        <v>0</v>
      </c>
      <c r="I186" s="74">
        <v>0</v>
      </c>
      <c r="J186" s="74">
        <v>0</v>
      </c>
      <c r="K186" s="74">
        <v>0</v>
      </c>
      <c r="L186" s="74">
        <v>0</v>
      </c>
      <c r="M186" s="74">
        <v>0</v>
      </c>
      <c r="N186" s="78">
        <f>Sum(C186:M186)</f>
        <v>0</v>
      </c>
      <c r="O186" s="76" t="e">
        <f>(N186/N193)</f>
        <v>#DIV/0!</v>
      </c>
      <c r="P186" s="0" t="s">
        <v>531</v>
      </c>
    </row>
    <row r="187">
      <c r="A187" s="3" t="s">
        <v>121</v>
      </c>
      <c r="B187" s="3"/>
      <c r="C187" s="74">
        <v>0</v>
      </c>
      <c r="D187" s="74">
        <v>0</v>
      </c>
      <c r="E187" s="74">
        <v>0</v>
      </c>
      <c r="F187" s="74">
        <v>0</v>
      </c>
      <c r="G187" s="74">
        <v>0</v>
      </c>
      <c r="H187" s="74">
        <v>0</v>
      </c>
      <c r="I187" s="74">
        <v>0</v>
      </c>
      <c r="J187" s="74">
        <v>0</v>
      </c>
      <c r="K187" s="74">
        <v>0</v>
      </c>
      <c r="L187" s="74">
        <v>0</v>
      </c>
      <c r="M187" s="74">
        <v>0</v>
      </c>
      <c r="N187" s="78">
        <f>Sum(C187:M187)</f>
        <v>0</v>
      </c>
      <c r="O187" s="76" t="e">
        <f>(N187/N193)</f>
        <v>#DIV/0!</v>
      </c>
      <c r="P187" s="0" t="s">
        <v>532</v>
      </c>
    </row>
    <row r="188">
      <c r="A188" s="3" t="s">
        <v>122</v>
      </c>
      <c r="B188" s="3"/>
      <c r="C188" s="74">
        <v>0</v>
      </c>
      <c r="D188" s="74">
        <v>0</v>
      </c>
      <c r="E188" s="74">
        <v>0</v>
      </c>
      <c r="F188" s="74">
        <v>0</v>
      </c>
      <c r="G188" s="74">
        <v>0</v>
      </c>
      <c r="H188" s="74">
        <v>0</v>
      </c>
      <c r="I188" s="74">
        <v>0</v>
      </c>
      <c r="J188" s="74">
        <v>0</v>
      </c>
      <c r="K188" s="74">
        <v>0</v>
      </c>
      <c r="L188" s="74">
        <v>0</v>
      </c>
      <c r="M188" s="74">
        <v>0</v>
      </c>
      <c r="N188" s="78">
        <f>Sum(C188:M188)</f>
        <v>0</v>
      </c>
      <c r="O188" s="76" t="e">
        <f>(N188/N193)</f>
        <v>#DIV/0!</v>
      </c>
      <c r="P188" s="0" t="s">
        <v>533</v>
      </c>
    </row>
    <row r="189">
      <c r="A189" s="3" t="s">
        <v>124</v>
      </c>
      <c r="B189" s="3"/>
      <c r="C189" s="74">
        <v>0</v>
      </c>
      <c r="D189" s="74">
        <v>0</v>
      </c>
      <c r="E189" s="74">
        <v>0</v>
      </c>
      <c r="F189" s="74">
        <v>0</v>
      </c>
      <c r="G189" s="74">
        <v>0</v>
      </c>
      <c r="H189" s="74">
        <v>0</v>
      </c>
      <c r="I189" s="74">
        <v>0</v>
      </c>
      <c r="J189" s="74">
        <v>0</v>
      </c>
      <c r="K189" s="74">
        <v>0</v>
      </c>
      <c r="L189" s="74">
        <v>0</v>
      </c>
      <c r="M189" s="74">
        <v>0</v>
      </c>
      <c r="N189" s="78">
        <f>Sum(C189:M189)</f>
        <v>0</v>
      </c>
      <c r="O189" s="76" t="e">
        <f>(N189/N193)</f>
        <v>#DIV/0!</v>
      </c>
      <c r="P189" s="0" t="s">
        <v>534</v>
      </c>
    </row>
    <row r="190">
      <c r="A190" s="3" t="s">
        <v>535</v>
      </c>
      <c r="B190" s="3"/>
      <c r="C190" s="74">
        <v>0</v>
      </c>
      <c r="D190" s="74">
        <v>0</v>
      </c>
      <c r="E190" s="74">
        <v>0</v>
      </c>
      <c r="F190" s="74">
        <v>0</v>
      </c>
      <c r="G190" s="74">
        <v>0</v>
      </c>
      <c r="H190" s="74">
        <v>0</v>
      </c>
      <c r="I190" s="74">
        <v>0</v>
      </c>
      <c r="J190" s="74">
        <v>0</v>
      </c>
      <c r="K190" s="74">
        <v>0</v>
      </c>
      <c r="L190" s="74">
        <v>0</v>
      </c>
      <c r="M190" s="74">
        <v>0</v>
      </c>
      <c r="N190" s="78">
        <f>Sum(C190:M190)</f>
        <v>0</v>
      </c>
      <c r="O190" s="76" t="e">
        <f>(N190/N193)</f>
        <v>#DIV/0!</v>
      </c>
      <c r="P190" s="0" t="s">
        <v>536</v>
      </c>
    </row>
    <row r="191">
      <c r="A191" s="3" t="s">
        <v>537</v>
      </c>
      <c r="B191" s="3"/>
      <c r="C191" s="74">
        <v>0</v>
      </c>
      <c r="D191" s="74">
        <v>0</v>
      </c>
      <c r="E191" s="74">
        <v>0</v>
      </c>
      <c r="F191" s="74">
        <v>0</v>
      </c>
      <c r="G191" s="74">
        <v>0</v>
      </c>
      <c r="H191" s="74">
        <v>0</v>
      </c>
      <c r="I191" s="74">
        <v>0</v>
      </c>
      <c r="J191" s="74">
        <v>0</v>
      </c>
      <c r="K191" s="74">
        <v>0</v>
      </c>
      <c r="L191" s="74">
        <v>0</v>
      </c>
      <c r="M191" s="74">
        <v>0</v>
      </c>
      <c r="N191" s="78">
        <f>Sum(C191:M191)</f>
        <v>0</v>
      </c>
      <c r="O191" s="76" t="e">
        <f>(N191/N193)</f>
        <v>#DIV/0!</v>
      </c>
      <c r="P191" s="0" t="s">
        <v>538</v>
      </c>
    </row>
    <row r="192">
      <c r="A192" s="3" t="s">
        <v>539</v>
      </c>
      <c r="B192" s="3"/>
      <c r="C192" s="74">
        <v>0</v>
      </c>
      <c r="D192" s="74">
        <v>0</v>
      </c>
      <c r="E192" s="74">
        <v>0</v>
      </c>
      <c r="F192" s="74">
        <v>0</v>
      </c>
      <c r="G192" s="74">
        <v>0</v>
      </c>
      <c r="H192" s="74">
        <v>0</v>
      </c>
      <c r="I192" s="74">
        <v>0</v>
      </c>
      <c r="J192" s="74">
        <v>0</v>
      </c>
      <c r="K192" s="74">
        <v>0</v>
      </c>
      <c r="L192" s="74">
        <v>0</v>
      </c>
      <c r="M192" s="74">
        <v>0</v>
      </c>
      <c r="N192" s="78">
        <f>Sum(C192:M192)</f>
        <v>0</v>
      </c>
      <c r="O192" s="76" t="e">
        <f>(N192/N193)</f>
        <v>#DIV/0!</v>
      </c>
      <c r="P192" s="0" t="s">
        <v>540</v>
      </c>
    </row>
    <row r="193">
      <c r="A193" s="3" t="s">
        <v>541</v>
      </c>
      <c r="B193" s="3"/>
      <c r="C193" s="74"/>
      <c r="D193" s="74"/>
      <c r="E193" s="74"/>
      <c r="F193" s="74"/>
      <c r="G193" s="74"/>
      <c r="H193" s="74"/>
      <c r="I193" s="74"/>
      <c r="J193" s="74"/>
      <c r="K193" s="74"/>
      <c r="L193" s="74"/>
      <c r="M193" s="74"/>
      <c r="N193" s="78">
        <f>Sum(C193:M193)</f>
        <v>0</v>
      </c>
    </row>
    <row r="194">
      <c r="A194" s="3"/>
      <c r="B194" s="3"/>
      <c r="C194" s="74"/>
      <c r="D194" s="74"/>
      <c r="E194" s="74"/>
      <c r="F194" s="74"/>
      <c r="G194" s="74"/>
      <c r="H194" s="74"/>
      <c r="I194" s="74"/>
      <c r="J194" s="74"/>
      <c r="K194" s="74"/>
      <c r="L194" s="74"/>
      <c r="M194" s="74"/>
      <c r="N194" s="78"/>
    </row>
    <row r="195">
      <c r="A195" s="3" t="s">
        <v>542</v>
      </c>
      <c r="B195" s="3"/>
      <c r="C195" s="74">
        <v>0</v>
      </c>
      <c r="D195" s="74">
        <v>0</v>
      </c>
      <c r="E195" s="74">
        <v>0</v>
      </c>
      <c r="F195" s="74">
        <v>0</v>
      </c>
      <c r="G195" s="74">
        <v>0</v>
      </c>
      <c r="H195" s="74">
        <v>0</v>
      </c>
      <c r="I195" s="74">
        <v>0</v>
      </c>
      <c r="J195" s="74">
        <v>0</v>
      </c>
      <c r="K195" s="74">
        <v>0</v>
      </c>
      <c r="L195" s="74">
        <v>0</v>
      </c>
      <c r="M195" s="74">
        <v>0</v>
      </c>
      <c r="N195" s="78">
        <f>Sum(C195:M195)</f>
        <v>0</v>
      </c>
    </row>
    <row r="197">
      <c r="A197" s="22" t="s">
        <v>543</v>
      </c>
      <c r="C197" s="22" t="s">
        <v>363</v>
      </c>
      <c r="D197" s="22"/>
      <c r="E197" s="22"/>
      <c r="F197" s="22"/>
      <c r="G197" s="22"/>
      <c r="H197" s="22"/>
      <c r="I197" s="22"/>
      <c r="J197" s="22"/>
      <c r="K197" s="22"/>
      <c r="L197" s="22"/>
      <c r="M197" s="22"/>
    </row>
    <row r="198">
      <c r="A198" s="22"/>
      <c r="C198" s="22">
        <v>2026</v>
      </c>
      <c r="D198" s="22">
        <v>2027</v>
      </c>
      <c r="E198" s="22">
        <v>2028</v>
      </c>
      <c r="F198" s="22">
        <v>2029</v>
      </c>
      <c r="G198" s="22">
        <v>2030</v>
      </c>
      <c r="H198" s="22">
        <v>2031</v>
      </c>
      <c r="I198" s="22">
        <v>2032</v>
      </c>
      <c r="J198" s="22">
        <v>2033</v>
      </c>
      <c r="K198" s="22">
        <v>2034</v>
      </c>
      <c r="L198" s="22">
        <v>2035</v>
      </c>
      <c r="M198" s="22">
        <v>2036</v>
      </c>
    </row>
    <row r="199">
      <c r="A199" s="3"/>
      <c r="B199" s="3"/>
      <c r="C199" s="74"/>
      <c r="D199" s="74"/>
      <c r="E199" s="74"/>
      <c r="F199" s="74"/>
      <c r="G199" s="74"/>
      <c r="H199" s="74"/>
      <c r="I199" s="74"/>
      <c r="J199" s="74"/>
      <c r="K199" s="74"/>
      <c r="L199" s="74"/>
      <c r="M199" s="74"/>
      <c r="N199" s="78">
        <f>Sum(C199:M199)</f>
        <v>0</v>
      </c>
    </row>
    <row r="202">
      <c r="A202" s="22" t="s">
        <v>473</v>
      </c>
      <c r="C202" s="22" t="s">
        <v>544</v>
      </c>
      <c r="D202" s="22"/>
      <c r="E202" s="22"/>
      <c r="F202" s="22"/>
      <c r="G202" s="22"/>
      <c r="H202" s="22"/>
      <c r="I202" s="22"/>
      <c r="J202" s="22"/>
      <c r="K202" s="22"/>
      <c r="L202" s="22"/>
      <c r="M202" s="22"/>
    </row>
    <row r="203">
      <c r="A203" s="22"/>
      <c r="C203" s="22">
        <v>2026</v>
      </c>
      <c r="D203" s="22">
        <v>2027</v>
      </c>
      <c r="E203" s="22">
        <v>2028</v>
      </c>
      <c r="F203" s="22">
        <v>2029</v>
      </c>
      <c r="G203" s="22">
        <v>2030</v>
      </c>
      <c r="H203" s="22">
        <v>2031</v>
      </c>
      <c r="I203" s="22">
        <v>2032</v>
      </c>
      <c r="J203" s="22">
        <v>2033</v>
      </c>
      <c r="K203" s="22">
        <v>2034</v>
      </c>
      <c r="L203" s="22">
        <v>2035</v>
      </c>
      <c r="M203" s="22">
        <v>2036</v>
      </c>
    </row>
    <row r="204">
      <c r="A204" s="3" t="s">
        <v>545</v>
      </c>
      <c r="B204" s="3"/>
      <c r="C204" s="90">
        <v>0</v>
      </c>
      <c r="D204" s="90">
        <v>0</v>
      </c>
      <c r="E204" s="90">
        <v>0</v>
      </c>
      <c r="F204" s="90">
        <v>0</v>
      </c>
      <c r="G204" s="90">
        <v>0</v>
      </c>
      <c r="H204" s="90">
        <v>0</v>
      </c>
      <c r="I204" s="90">
        <v>0</v>
      </c>
      <c r="J204" s="90">
        <v>0</v>
      </c>
      <c r="K204" s="90">
        <v>0</v>
      </c>
      <c r="L204" s="90">
        <v>0</v>
      </c>
      <c r="M204" s="90">
        <v>0</v>
      </c>
    </row>
    <row r="205">
      <c r="A205" s="3" t="s">
        <v>546</v>
      </c>
      <c r="B205" s="3"/>
      <c r="C205" s="90">
        <v>0</v>
      </c>
      <c r="D205" s="90">
        <v>0</v>
      </c>
      <c r="E205" s="90">
        <v>0</v>
      </c>
      <c r="F205" s="90">
        <v>0</v>
      </c>
      <c r="G205" s="90">
        <v>0</v>
      </c>
      <c r="H205" s="90">
        <v>0</v>
      </c>
      <c r="I205" s="90">
        <v>0</v>
      </c>
      <c r="J205" s="90">
        <v>0</v>
      </c>
      <c r="K205" s="90">
        <v>0</v>
      </c>
      <c r="L205" s="90">
        <v>0</v>
      </c>
      <c r="M205" s="90">
        <v>0</v>
      </c>
    </row>
    <row r="206">
      <c r="A206" s="3" t="s">
        <v>547</v>
      </c>
      <c r="B206" s="3"/>
      <c r="C206" s="90">
        <v>0</v>
      </c>
      <c r="D206" s="90">
        <v>0</v>
      </c>
      <c r="E206" s="90">
        <v>0</v>
      </c>
      <c r="F206" s="90">
        <v>0</v>
      </c>
      <c r="G206" s="90">
        <v>0</v>
      </c>
      <c r="H206" s="90">
        <v>0</v>
      </c>
      <c r="I206" s="90">
        <v>0</v>
      </c>
      <c r="J206" s="90">
        <v>0</v>
      </c>
      <c r="K206" s="90">
        <v>0</v>
      </c>
      <c r="L206" s="90">
        <v>0</v>
      </c>
      <c r="M206" s="90">
        <v>0</v>
      </c>
    </row>
    <row r="207">
      <c r="A207" s="3" t="s">
        <v>548</v>
      </c>
      <c r="B207" s="3"/>
      <c r="C207" s="90">
        <v>0</v>
      </c>
      <c r="D207" s="90">
        <v>0</v>
      </c>
      <c r="E207" s="90">
        <v>0</v>
      </c>
      <c r="F207" s="90">
        <v>0</v>
      </c>
      <c r="G207" s="90">
        <v>0</v>
      </c>
      <c r="H207" s="90">
        <v>0</v>
      </c>
      <c r="I207" s="90">
        <v>0</v>
      </c>
      <c r="J207" s="90">
        <v>0</v>
      </c>
      <c r="K207" s="90">
        <v>0</v>
      </c>
      <c r="L207" s="90">
        <v>0</v>
      </c>
      <c r="M207" s="90">
        <v>0</v>
      </c>
    </row>
    <row r="208">
      <c r="A208" s="3" t="s">
        <v>549</v>
      </c>
      <c r="B208" s="3"/>
      <c r="C208" s="90">
        <v>0</v>
      </c>
      <c r="D208" s="90">
        <v>0</v>
      </c>
      <c r="E208" s="90">
        <v>0</v>
      </c>
      <c r="F208" s="90">
        <v>0</v>
      </c>
      <c r="G208" s="90">
        <v>0</v>
      </c>
      <c r="H208" s="90">
        <v>0</v>
      </c>
      <c r="I208" s="90">
        <v>0</v>
      </c>
      <c r="J208" s="90">
        <v>0</v>
      </c>
      <c r="K208" s="90">
        <v>0</v>
      </c>
      <c r="L208" s="90">
        <v>0</v>
      </c>
      <c r="M208" s="90">
        <v>0</v>
      </c>
    </row>
    <row r="209">
      <c r="A209" s="3" t="s">
        <v>550</v>
      </c>
      <c r="B209" s="3"/>
      <c r="C209" s="90">
        <v>0</v>
      </c>
      <c r="D209" s="90">
        <v>0</v>
      </c>
      <c r="E209" s="90">
        <v>0</v>
      </c>
      <c r="F209" s="90">
        <v>0</v>
      </c>
      <c r="G209" s="90">
        <v>0</v>
      </c>
      <c r="H209" s="90">
        <v>0</v>
      </c>
      <c r="I209" s="90">
        <v>0</v>
      </c>
      <c r="J209" s="90">
        <v>0</v>
      </c>
      <c r="K209" s="90">
        <v>0</v>
      </c>
      <c r="L209" s="90">
        <v>0</v>
      </c>
      <c r="M209" s="90">
        <v>0</v>
      </c>
    </row>
    <row r="210">
      <c r="A210" s="3" t="s">
        <v>551</v>
      </c>
      <c r="B210" s="3"/>
      <c r="C210" s="90">
        <v>0</v>
      </c>
      <c r="D210" s="90">
        <v>0</v>
      </c>
      <c r="E210" s="90"/>
      <c r="F210" s="90">
        <v>0</v>
      </c>
      <c r="G210" s="90"/>
      <c r="H210" s="90">
        <v>0</v>
      </c>
      <c r="I210" s="90"/>
      <c r="J210" s="90"/>
      <c r="K210" s="90"/>
      <c r="L210" s="90"/>
      <c r="M210" s="90">
        <v>0</v>
      </c>
    </row>
    <row r="212">
      <c r="A212" s="25" t="s">
        <v>136</v>
      </c>
      <c r="B212" s="25"/>
      <c r="C212" s="25"/>
      <c r="D212" s="25"/>
      <c r="E212" s="25"/>
      <c r="F212" s="25"/>
      <c r="G212" s="25"/>
      <c r="H212" s="25"/>
      <c r="I212" s="25"/>
      <c r="J212" s="25"/>
      <c r="K212" s="25"/>
      <c r="L212" s="24"/>
      <c r="M212" s="24"/>
    </row>
    <row r="215">
      <c r="A215" s="22" t="s">
        <v>363</v>
      </c>
      <c r="C215" s="22" t="s">
        <v>502</v>
      </c>
      <c r="D215" s="22"/>
      <c r="E215" s="22"/>
      <c r="F215" s="22"/>
      <c r="G215" s="22"/>
      <c r="H215" s="22"/>
      <c r="I215" s="22"/>
      <c r="J215" s="22"/>
      <c r="K215" s="22"/>
      <c r="L215" s="22"/>
      <c r="M215" s="22"/>
    </row>
    <row r="216">
      <c r="A216" s="22"/>
      <c r="C216" s="22">
        <v>2026</v>
      </c>
      <c r="D216" s="22">
        <v>2027</v>
      </c>
      <c r="E216" s="22">
        <v>2028</v>
      </c>
      <c r="F216" s="22">
        <v>2029</v>
      </c>
      <c r="G216" s="22">
        <v>2030</v>
      </c>
      <c r="H216" s="22">
        <v>2031</v>
      </c>
      <c r="I216" s="22">
        <v>2032</v>
      </c>
      <c r="J216" s="22">
        <v>2033</v>
      </c>
      <c r="K216" s="22">
        <v>2034</v>
      </c>
      <c r="L216" s="22">
        <v>2035</v>
      </c>
      <c r="M216" s="22">
        <v>2036</v>
      </c>
    </row>
    <row r="217">
      <c r="A217" s="3" t="s">
        <v>504</v>
      </c>
      <c r="B217" s="3"/>
      <c r="C217" s="82">
        <v>0</v>
      </c>
      <c r="D217" s="82">
        <v>0</v>
      </c>
      <c r="E217" s="82">
        <v>0</v>
      </c>
      <c r="F217" s="82">
        <v>0</v>
      </c>
      <c r="G217" s="82">
        <v>0</v>
      </c>
      <c r="H217" s="82">
        <v>0</v>
      </c>
      <c r="I217" s="82">
        <v>0</v>
      </c>
      <c r="J217" s="82">
        <v>0</v>
      </c>
      <c r="K217" s="82">
        <v>0</v>
      </c>
      <c r="L217" s="82">
        <v>0</v>
      </c>
      <c r="M217" s="82">
        <v>0</v>
      </c>
    </row>
    <row r="218">
      <c r="A218" s="3" t="s">
        <v>506</v>
      </c>
      <c r="B218" s="3"/>
      <c r="C218" s="83">
        <v>1</v>
      </c>
      <c r="D218" s="83">
        <v>1</v>
      </c>
      <c r="E218" s="83">
        <v>0</v>
      </c>
      <c r="F218" s="83">
        <v>1</v>
      </c>
      <c r="G218" s="83">
        <v>0</v>
      </c>
      <c r="H218" s="83">
        <v>1</v>
      </c>
      <c r="I218" s="83">
        <v>0</v>
      </c>
      <c r="J218" s="83">
        <v>0</v>
      </c>
      <c r="K218" s="83">
        <v>0</v>
      </c>
      <c r="L218" s="83">
        <v>0</v>
      </c>
      <c r="M218" s="83">
        <v>1</v>
      </c>
    </row>
    <row r="219">
      <c r="A219" s="3" t="s">
        <v>507</v>
      </c>
      <c r="B219" s="3"/>
      <c r="C219" s="83">
        <v>0</v>
      </c>
      <c r="D219" s="83">
        <v>0</v>
      </c>
      <c r="E219" s="83">
        <v>0</v>
      </c>
      <c r="F219" s="83">
        <v>0</v>
      </c>
      <c r="G219" s="83">
        <v>0</v>
      </c>
      <c r="H219" s="83">
        <v>0</v>
      </c>
      <c r="I219" s="83">
        <v>0</v>
      </c>
      <c r="J219" s="83">
        <v>0</v>
      </c>
      <c r="K219" s="83">
        <v>0</v>
      </c>
      <c r="L219" s="83">
        <v>0</v>
      </c>
      <c r="M219" s="83">
        <v>0</v>
      </c>
    </row>
    <row r="220">
      <c r="A220" s="3" t="s">
        <v>508</v>
      </c>
      <c r="B220" s="3"/>
      <c r="C220" s="83">
        <v>0</v>
      </c>
      <c r="D220" s="83">
        <v>0</v>
      </c>
      <c r="E220" s="83">
        <v>0</v>
      </c>
      <c r="F220" s="83">
        <v>0</v>
      </c>
      <c r="G220" s="83">
        <v>0</v>
      </c>
      <c r="H220" s="83">
        <v>0</v>
      </c>
      <c r="I220" s="83">
        <v>0</v>
      </c>
      <c r="J220" s="83">
        <v>0</v>
      </c>
      <c r="K220" s="83">
        <v>0</v>
      </c>
      <c r="L220" s="83">
        <v>0</v>
      </c>
      <c r="M220" s="83">
        <v>0</v>
      </c>
    </row>
    <row r="221">
      <c r="A221" s="3" t="s">
        <v>509</v>
      </c>
      <c r="B221" s="3"/>
      <c r="C221" s="83">
        <v>0</v>
      </c>
      <c r="D221" s="83">
        <v>0</v>
      </c>
      <c r="E221" s="83">
        <v>0</v>
      </c>
      <c r="F221" s="83">
        <v>0</v>
      </c>
      <c r="G221" s="83">
        <v>0</v>
      </c>
      <c r="H221" s="83">
        <v>0</v>
      </c>
      <c r="I221" s="83">
        <v>0</v>
      </c>
      <c r="J221" s="83">
        <v>0</v>
      </c>
      <c r="K221" s="83">
        <v>0</v>
      </c>
      <c r="L221" s="83">
        <v>0</v>
      </c>
      <c r="M221" s="83">
        <v>0</v>
      </c>
    </row>
    <row r="222">
      <c r="A222" s="3" t="s">
        <v>510</v>
      </c>
      <c r="B222" s="3"/>
      <c r="C222" s="83">
        <v>0</v>
      </c>
      <c r="D222" s="83">
        <v>0</v>
      </c>
      <c r="E222" s="83">
        <v>0</v>
      </c>
      <c r="F222" s="83">
        <v>0</v>
      </c>
      <c r="G222" s="83">
        <v>0</v>
      </c>
      <c r="H222" s="83">
        <v>0</v>
      </c>
      <c r="I222" s="83">
        <v>0</v>
      </c>
      <c r="J222" s="83">
        <v>0</v>
      </c>
      <c r="K222" s="83">
        <v>0</v>
      </c>
      <c r="L222" s="83">
        <v>0</v>
      </c>
      <c r="M222" s="83">
        <v>0</v>
      </c>
    </row>
    <row r="225">
      <c r="A225" s="22" t="s">
        <v>511</v>
      </c>
      <c r="C225" s="22" t="s">
        <v>512</v>
      </c>
      <c r="D225" s="22"/>
      <c r="E225" s="22"/>
      <c r="F225" s="22"/>
      <c r="G225" s="22"/>
      <c r="H225" s="22"/>
      <c r="I225" s="22"/>
      <c r="J225" s="22"/>
      <c r="K225" s="22"/>
      <c r="L225" s="22"/>
      <c r="M225" s="22"/>
    </row>
    <row r="226">
      <c r="A226" s="22"/>
      <c r="C226" s="22">
        <v>2026</v>
      </c>
      <c r="D226" s="22">
        <v>2027</v>
      </c>
      <c r="E226" s="22">
        <v>2028</v>
      </c>
      <c r="F226" s="22">
        <v>2029</v>
      </c>
      <c r="G226" s="22">
        <v>2030</v>
      </c>
      <c r="H226" s="22">
        <v>2031</v>
      </c>
      <c r="I226" s="22">
        <v>2032</v>
      </c>
      <c r="J226" s="22">
        <v>2033</v>
      </c>
      <c r="K226" s="22">
        <v>2034</v>
      </c>
      <c r="L226" s="22">
        <v>2035</v>
      </c>
      <c r="M226" s="22">
        <v>2036</v>
      </c>
    </row>
    <row r="227">
      <c r="A227" s="3" t="s">
        <v>513</v>
      </c>
      <c r="B227" s="3"/>
      <c r="C227" s="74"/>
      <c r="D227" s="74"/>
      <c r="E227" s="74"/>
      <c r="F227" s="74"/>
      <c r="G227" s="74"/>
      <c r="H227" s="74"/>
      <c r="I227" s="74"/>
      <c r="J227" s="74"/>
      <c r="K227" s="74"/>
      <c r="L227" s="74"/>
      <c r="M227" s="74"/>
    </row>
    <row r="230">
      <c r="A230" s="22" t="s">
        <v>514</v>
      </c>
      <c r="C230" s="22" t="s">
        <v>515</v>
      </c>
      <c r="D230" s="22"/>
      <c r="E230" s="22"/>
      <c r="F230" s="22"/>
      <c r="G230" s="22"/>
      <c r="H230" s="22"/>
      <c r="I230" s="22"/>
      <c r="J230" s="22"/>
      <c r="K230" s="22"/>
      <c r="L230" s="22"/>
      <c r="M230" s="22"/>
    </row>
    <row r="231">
      <c r="A231" s="22"/>
      <c r="C231" s="22">
        <v>2026</v>
      </c>
      <c r="D231" s="22">
        <v>2027</v>
      </c>
      <c r="E231" s="22">
        <v>2028</v>
      </c>
      <c r="F231" s="22">
        <v>2029</v>
      </c>
      <c r="G231" s="22">
        <v>2030</v>
      </c>
      <c r="H231" s="22">
        <v>2031</v>
      </c>
      <c r="I231" s="22">
        <v>2032</v>
      </c>
      <c r="J231" s="22">
        <v>2033</v>
      </c>
      <c r="K231" s="22">
        <v>2034</v>
      </c>
      <c r="L231" s="22">
        <v>2035</v>
      </c>
      <c r="M231" s="22">
        <v>2036</v>
      </c>
    </row>
    <row r="232">
      <c r="A232" s="3" t="s">
        <v>513</v>
      </c>
      <c r="B232" s="3"/>
      <c r="C232" s="74"/>
      <c r="D232" s="74"/>
      <c r="E232" s="74"/>
      <c r="F232" s="74"/>
      <c r="G232" s="74"/>
      <c r="H232" s="74"/>
      <c r="I232" s="74"/>
      <c r="J232" s="74"/>
      <c r="K232" s="74"/>
      <c r="L232" s="74"/>
      <c r="M232" s="74"/>
    </row>
    <row r="235">
      <c r="A235" s="22" t="s">
        <v>516</v>
      </c>
      <c r="C235" s="22" t="s">
        <v>517</v>
      </c>
      <c r="D235" s="22"/>
      <c r="E235" s="22"/>
      <c r="F235" s="22"/>
      <c r="G235" s="22"/>
      <c r="H235" s="22"/>
      <c r="I235" s="22"/>
      <c r="J235" s="22"/>
      <c r="K235" s="22"/>
      <c r="L235" s="22"/>
      <c r="M235" s="22"/>
    </row>
    <row r="236">
      <c r="A236" s="22"/>
      <c r="C236" s="22">
        <v>2026</v>
      </c>
      <c r="D236" s="22">
        <v>2027</v>
      </c>
      <c r="E236" s="22">
        <v>2028</v>
      </c>
      <c r="F236" s="22">
        <v>2029</v>
      </c>
      <c r="G236" s="22">
        <v>2030</v>
      </c>
      <c r="H236" s="22">
        <v>2031</v>
      </c>
      <c r="I236" s="22">
        <v>2032</v>
      </c>
      <c r="J236" s="22">
        <v>2033</v>
      </c>
      <c r="K236" s="22">
        <v>2034</v>
      </c>
      <c r="L236" s="22">
        <v>2035</v>
      </c>
      <c r="M236" s="22">
        <v>2036</v>
      </c>
    </row>
    <row r="237">
      <c r="A237" s="3" t="s">
        <v>518</v>
      </c>
      <c r="B237" s="3"/>
      <c r="C237" s="74"/>
      <c r="D237" s="74"/>
      <c r="E237" s="74"/>
      <c r="F237" s="74"/>
      <c r="G237" s="74"/>
      <c r="H237" s="74"/>
      <c r="I237" s="74"/>
      <c r="J237" s="74"/>
      <c r="K237" s="74"/>
      <c r="L237" s="74"/>
      <c r="M237" s="74"/>
    </row>
    <row r="240">
      <c r="A240" s="22" t="s">
        <v>520</v>
      </c>
      <c r="C240" s="22" t="s">
        <v>521</v>
      </c>
      <c r="D240" s="22"/>
      <c r="E240" s="22"/>
      <c r="F240" s="22"/>
      <c r="G240" s="22"/>
      <c r="H240" s="22"/>
      <c r="I240" s="22"/>
      <c r="J240" s="22"/>
      <c r="K240" s="22"/>
      <c r="L240" s="22"/>
      <c r="M240" s="22"/>
    </row>
    <row r="241">
      <c r="A241" s="22"/>
      <c r="C241" s="22">
        <v>2026</v>
      </c>
      <c r="D241" s="22">
        <v>2027</v>
      </c>
      <c r="E241" s="22">
        <v>2028</v>
      </c>
      <c r="F241" s="22">
        <v>2029</v>
      </c>
      <c r="G241" s="22">
        <v>2030</v>
      </c>
      <c r="H241" s="22">
        <v>2031</v>
      </c>
      <c r="I241" s="22">
        <v>2032</v>
      </c>
      <c r="J241" s="22">
        <v>2033</v>
      </c>
      <c r="K241" s="22">
        <v>2034</v>
      </c>
      <c r="L241" s="22">
        <v>2035</v>
      </c>
      <c r="M241" s="22">
        <v>2036</v>
      </c>
    </row>
    <row r="242">
      <c r="A242" s="3" t="s">
        <v>522</v>
      </c>
      <c r="B242" s="3"/>
      <c r="C242" s="74"/>
      <c r="D242" s="74"/>
      <c r="E242" s="74"/>
      <c r="F242" s="74"/>
      <c r="G242" s="74"/>
      <c r="H242" s="74"/>
      <c r="I242" s="74"/>
      <c r="J242" s="74"/>
      <c r="K242" s="74"/>
      <c r="L242" s="74"/>
      <c r="M242" s="74"/>
    </row>
    <row r="245">
      <c r="A245" s="22" t="s">
        <v>523</v>
      </c>
      <c r="C245" s="22" t="s">
        <v>524</v>
      </c>
      <c r="D245" s="22"/>
      <c r="E245" s="22"/>
      <c r="F245" s="22"/>
      <c r="G245" s="22"/>
      <c r="H245" s="22"/>
      <c r="I245" s="22"/>
      <c r="J245" s="22"/>
      <c r="K245" s="22"/>
      <c r="L245" s="22"/>
      <c r="M245" s="22"/>
    </row>
    <row r="246">
      <c r="A246" s="22"/>
      <c r="C246" s="22">
        <v>2026</v>
      </c>
      <c r="D246" s="22">
        <v>2027</v>
      </c>
      <c r="E246" s="22">
        <v>2028</v>
      </c>
      <c r="F246" s="22">
        <v>2029</v>
      </c>
      <c r="G246" s="22">
        <v>2030</v>
      </c>
      <c r="H246" s="22">
        <v>2031</v>
      </c>
      <c r="I246" s="22">
        <v>2032</v>
      </c>
      <c r="J246" s="22">
        <v>2033</v>
      </c>
      <c r="K246" s="22">
        <v>2034</v>
      </c>
      <c r="L246" s="22">
        <v>2035</v>
      </c>
      <c r="M246" s="22">
        <v>2036</v>
      </c>
    </row>
    <row r="248">
      <c r="A248" s="3" t="s">
        <v>110</v>
      </c>
      <c r="B248" s="3"/>
      <c r="C248" s="91">
        <v>3198570</v>
      </c>
      <c r="D248" s="91">
        <v>0</v>
      </c>
      <c r="E248" s="91">
        <v>0</v>
      </c>
      <c r="F248" s="91">
        <v>1078914.93</v>
      </c>
      <c r="G248" s="91">
        <v>0</v>
      </c>
      <c r="H248" s="91">
        <v>0</v>
      </c>
      <c r="I248" s="91">
        <v>0</v>
      </c>
      <c r="J248" s="91">
        <v>0</v>
      </c>
      <c r="K248" s="91">
        <v>0</v>
      </c>
      <c r="L248" s="91">
        <v>0</v>
      </c>
      <c r="M248" s="91">
        <v>0</v>
      </c>
    </row>
    <row r="249">
      <c r="A249" s="3" t="s">
        <v>525</v>
      </c>
      <c r="B249" s="3"/>
      <c r="C249" s="74">
        <v>3198570</v>
      </c>
      <c r="D249" s="74">
        <v>0</v>
      </c>
      <c r="E249" s="74">
        <v>0</v>
      </c>
      <c r="F249" s="74">
        <v>1078914.93</v>
      </c>
      <c r="G249" s="74">
        <v>0</v>
      </c>
      <c r="H249" s="74">
        <v>0</v>
      </c>
      <c r="I249" s="74">
        <v>0</v>
      </c>
      <c r="J249" s="74">
        <v>0</v>
      </c>
      <c r="K249" s="74">
        <v>0</v>
      </c>
      <c r="L249" s="74">
        <v>0</v>
      </c>
      <c r="M249" s="74">
        <v>0</v>
      </c>
    </row>
    <row r="251">
      <c r="A251" s="22" t="s">
        <v>526</v>
      </c>
      <c r="C251" s="22" t="s">
        <v>527</v>
      </c>
      <c r="D251" s="22"/>
      <c r="E251" s="22"/>
      <c r="F251" s="22"/>
      <c r="G251" s="22"/>
      <c r="H251" s="22"/>
      <c r="I251" s="22"/>
      <c r="J251" s="22"/>
      <c r="K251" s="22"/>
      <c r="L251" s="22"/>
      <c r="M251" s="22"/>
    </row>
    <row r="252">
      <c r="A252" s="22"/>
      <c r="C252" s="22">
        <v>2026</v>
      </c>
      <c r="D252" s="22">
        <v>2027</v>
      </c>
      <c r="E252" s="22">
        <v>2028</v>
      </c>
      <c r="F252" s="22">
        <v>2029</v>
      </c>
      <c r="G252" s="22">
        <v>2030</v>
      </c>
      <c r="H252" s="22">
        <v>2031</v>
      </c>
      <c r="I252" s="22">
        <v>2032</v>
      </c>
      <c r="J252" s="22">
        <v>2033</v>
      </c>
      <c r="K252" s="22">
        <v>2034</v>
      </c>
      <c r="L252" s="22">
        <v>2035</v>
      </c>
      <c r="M252" s="22">
        <v>2036</v>
      </c>
    </row>
    <row r="253">
      <c r="A253" s="3" t="s">
        <v>128</v>
      </c>
      <c r="B253" s="3"/>
      <c r="C253" s="91">
        <v>4848345</v>
      </c>
      <c r="D253" s="91">
        <v>1577661.3</v>
      </c>
      <c r="E253" s="91">
        <v>0</v>
      </c>
      <c r="F253" s="91">
        <v>0</v>
      </c>
      <c r="G253" s="91">
        <v>0</v>
      </c>
      <c r="H253" s="91">
        <v>0</v>
      </c>
      <c r="I253" s="91">
        <v>0</v>
      </c>
      <c r="J253" s="91">
        <v>0</v>
      </c>
      <c r="K253" s="91">
        <v>0</v>
      </c>
      <c r="L253" s="91">
        <v>0</v>
      </c>
      <c r="M253" s="91">
        <v>0</v>
      </c>
    </row>
    <row r="254">
      <c r="A254" s="3" t="s">
        <v>108</v>
      </c>
      <c r="B254" s="3"/>
      <c r="C254" s="91">
        <v>3803340</v>
      </c>
      <c r="D254" s="91">
        <v>3524083.2</v>
      </c>
      <c r="E254" s="91">
        <v>0</v>
      </c>
      <c r="F254" s="91">
        <v>0</v>
      </c>
      <c r="G254" s="91">
        <v>0</v>
      </c>
      <c r="H254" s="91">
        <v>1043346.67</v>
      </c>
      <c r="I254" s="91">
        <v>0</v>
      </c>
      <c r="J254" s="91">
        <v>0</v>
      </c>
      <c r="K254" s="91">
        <v>0</v>
      </c>
      <c r="L254" s="91">
        <v>0</v>
      </c>
      <c r="M254" s="91">
        <v>1209524.74</v>
      </c>
    </row>
    <row r="255">
      <c r="A255" s="3" t="s">
        <v>116</v>
      </c>
      <c r="B255" s="3"/>
      <c r="C255" s="91">
        <v>17019</v>
      </c>
      <c r="D255" s="91">
        <v>0</v>
      </c>
      <c r="E255" s="91">
        <v>0</v>
      </c>
      <c r="F255" s="91">
        <v>0</v>
      </c>
      <c r="G255" s="91">
        <v>0</v>
      </c>
      <c r="H255" s="91">
        <v>0</v>
      </c>
      <c r="I255" s="91">
        <v>0</v>
      </c>
      <c r="J255" s="91">
        <v>0</v>
      </c>
      <c r="K255" s="91">
        <v>0</v>
      </c>
      <c r="L255" s="91">
        <v>0</v>
      </c>
      <c r="M255" s="91">
        <v>0</v>
      </c>
    </row>
    <row r="256">
      <c r="A256" s="3" t="s">
        <v>115</v>
      </c>
      <c r="B256" s="3"/>
      <c r="C256" s="91">
        <v>0</v>
      </c>
      <c r="D256" s="91">
        <v>0</v>
      </c>
      <c r="E256" s="91">
        <v>0</v>
      </c>
      <c r="F256" s="91">
        <v>0</v>
      </c>
      <c r="G256" s="91">
        <v>0</v>
      </c>
      <c r="H256" s="91">
        <v>0</v>
      </c>
      <c r="I256" s="91">
        <v>0</v>
      </c>
      <c r="J256" s="91">
        <v>0</v>
      </c>
      <c r="K256" s="91">
        <v>0</v>
      </c>
      <c r="L256" s="91">
        <v>0</v>
      </c>
      <c r="M256" s="91">
        <v>27969.59</v>
      </c>
    </row>
    <row r="257">
      <c r="A257" s="3" t="s">
        <v>528</v>
      </c>
      <c r="B257" s="3"/>
      <c r="C257" s="74">
        <v>8668704</v>
      </c>
      <c r="D257" s="74">
        <v>5101744.5</v>
      </c>
      <c r="E257" s="74">
        <v>0</v>
      </c>
      <c r="F257" s="74">
        <v>0</v>
      </c>
      <c r="G257" s="74">
        <v>0</v>
      </c>
      <c r="H257" s="74">
        <v>1043346.67</v>
      </c>
      <c r="I257" s="74">
        <v>0</v>
      </c>
      <c r="J257" s="74">
        <v>0</v>
      </c>
      <c r="K257" s="74">
        <v>0</v>
      </c>
      <c r="L257" s="74">
        <v>0</v>
      </c>
      <c r="M257" s="74">
        <v>1237494.33</v>
      </c>
    </row>
    <row r="260">
      <c r="A260" s="22" t="s">
        <v>529</v>
      </c>
      <c r="C260" s="22" t="s">
        <v>363</v>
      </c>
      <c r="D260" s="22"/>
      <c r="E260" s="22"/>
      <c r="F260" s="22"/>
      <c r="G260" s="22"/>
      <c r="H260" s="22"/>
      <c r="I260" s="22"/>
      <c r="J260" s="22"/>
      <c r="K260" s="22"/>
      <c r="L260" s="22"/>
      <c r="M260" s="22"/>
    </row>
    <row r="261">
      <c r="A261" s="22"/>
      <c r="B261" s="3"/>
      <c r="C261" s="22">
        <v>2026</v>
      </c>
      <c r="D261" s="22">
        <v>2027</v>
      </c>
      <c r="E261" s="22">
        <v>2028</v>
      </c>
      <c r="F261" s="22">
        <v>2029</v>
      </c>
      <c r="G261" s="22">
        <v>2030</v>
      </c>
      <c r="H261" s="22">
        <v>2031</v>
      </c>
      <c r="I261" s="22">
        <v>2032</v>
      </c>
      <c r="J261" s="22">
        <v>2033</v>
      </c>
      <c r="K261" s="22">
        <v>2034</v>
      </c>
      <c r="L261" s="22">
        <v>2035</v>
      </c>
      <c r="M261" s="22">
        <v>2036</v>
      </c>
      <c r="N261" s="22" t="s">
        <v>530</v>
      </c>
    </row>
    <row r="262">
      <c r="A262" s="3" t="s">
        <v>117</v>
      </c>
      <c r="B262" s="3"/>
      <c r="C262" s="74">
        <v>0</v>
      </c>
      <c r="D262" s="74">
        <v>0</v>
      </c>
      <c r="E262" s="74">
        <v>0</v>
      </c>
      <c r="F262" s="74">
        <v>0</v>
      </c>
      <c r="G262" s="74">
        <v>0</v>
      </c>
      <c r="H262" s="74">
        <v>0</v>
      </c>
      <c r="I262" s="74">
        <v>0</v>
      </c>
      <c r="J262" s="74">
        <v>0</v>
      </c>
      <c r="K262" s="74">
        <v>0</v>
      </c>
      <c r="L262" s="74">
        <v>0</v>
      </c>
      <c r="M262" s="74">
        <v>0</v>
      </c>
      <c r="N262" s="78">
        <f>Sum(C262:M262)</f>
        <v>0</v>
      </c>
      <c r="O262" s="76">
        <f>(N262/N269)</f>
        <v>0</v>
      </c>
      <c r="P262" s="0" t="s">
        <v>531</v>
      </c>
    </row>
    <row r="263">
      <c r="A263" s="3" t="s">
        <v>121</v>
      </c>
      <c r="B263" s="3"/>
      <c r="C263" s="74">
        <v>17019</v>
      </c>
      <c r="D263" s="74">
        <v>0</v>
      </c>
      <c r="E263" s="74">
        <v>0</v>
      </c>
      <c r="F263" s="74">
        <v>0</v>
      </c>
      <c r="G263" s="74">
        <v>0</v>
      </c>
      <c r="H263" s="74">
        <v>0</v>
      </c>
      <c r="I263" s="74">
        <v>0</v>
      </c>
      <c r="J263" s="74">
        <v>0</v>
      </c>
      <c r="K263" s="74">
        <v>0</v>
      </c>
      <c r="L263" s="74">
        <v>0</v>
      </c>
      <c r="M263" s="74">
        <v>27969.59</v>
      </c>
      <c r="N263" s="78">
        <f>Sum(C263:M263)</f>
        <v>44988.59</v>
      </c>
      <c r="O263" s="76">
        <f>(N263/N269)</f>
        <v>0.0022130497908230268</v>
      </c>
      <c r="P263" s="0" t="s">
        <v>532</v>
      </c>
    </row>
    <row r="264">
      <c r="A264" s="3" t="s">
        <v>122</v>
      </c>
      <c r="B264" s="3"/>
      <c r="C264" s="74">
        <v>4848345</v>
      </c>
      <c r="D264" s="74">
        <v>1577661.3</v>
      </c>
      <c r="E264" s="74">
        <v>0</v>
      </c>
      <c r="F264" s="74">
        <v>0</v>
      </c>
      <c r="G264" s="74">
        <v>0</v>
      </c>
      <c r="H264" s="74">
        <v>0</v>
      </c>
      <c r="I264" s="74">
        <v>0</v>
      </c>
      <c r="J264" s="74">
        <v>0</v>
      </c>
      <c r="K264" s="74">
        <v>0</v>
      </c>
      <c r="L264" s="74">
        <v>0</v>
      </c>
      <c r="M264" s="74">
        <v>0</v>
      </c>
      <c r="N264" s="78">
        <f>Sum(C264:M264)</f>
        <v>6426006.3</v>
      </c>
      <c r="O264" s="76">
        <f>(N264/N269)</f>
        <v>0.31610396987419376</v>
      </c>
      <c r="P264" s="0" t="s">
        <v>533</v>
      </c>
    </row>
    <row r="265">
      <c r="A265" s="3" t="s">
        <v>124</v>
      </c>
      <c r="B265" s="3"/>
      <c r="C265" s="74">
        <v>7001910</v>
      </c>
      <c r="D265" s="74">
        <v>3524083.2</v>
      </c>
      <c r="E265" s="74">
        <v>0</v>
      </c>
      <c r="F265" s="74">
        <v>1078914.93</v>
      </c>
      <c r="G265" s="74">
        <v>0</v>
      </c>
      <c r="H265" s="74">
        <v>1043346.67</v>
      </c>
      <c r="I265" s="74">
        <v>0</v>
      </c>
      <c r="J265" s="74">
        <v>0</v>
      </c>
      <c r="K265" s="74">
        <v>0</v>
      </c>
      <c r="L265" s="74">
        <v>0</v>
      </c>
      <c r="M265" s="74">
        <v>1209524.74</v>
      </c>
      <c r="N265" s="78">
        <f>Sum(C265:M265)</f>
        <v>13857779.54</v>
      </c>
      <c r="O265" s="76">
        <f>(N265/N269)</f>
        <v>0.6816829803349832</v>
      </c>
      <c r="P265" s="0" t="s">
        <v>534</v>
      </c>
    </row>
    <row r="266">
      <c r="A266" s="3" t="s">
        <v>535</v>
      </c>
      <c r="B266" s="3"/>
      <c r="C266" s="74">
        <v>0</v>
      </c>
      <c r="D266" s="74">
        <v>0</v>
      </c>
      <c r="E266" s="74">
        <v>0</v>
      </c>
      <c r="F266" s="74">
        <v>0</v>
      </c>
      <c r="G266" s="74">
        <v>0</v>
      </c>
      <c r="H266" s="74">
        <v>0</v>
      </c>
      <c r="I266" s="74">
        <v>0</v>
      </c>
      <c r="J266" s="74">
        <v>0</v>
      </c>
      <c r="K266" s="74">
        <v>0</v>
      </c>
      <c r="L266" s="74">
        <v>0</v>
      </c>
      <c r="M266" s="74">
        <v>0</v>
      </c>
      <c r="N266" s="78">
        <f>Sum(C266:M266)</f>
        <v>0</v>
      </c>
      <c r="O266" s="76">
        <f>(N266/N269)</f>
        <v>0</v>
      </c>
      <c r="P266" s="0" t="s">
        <v>536</v>
      </c>
    </row>
    <row r="267">
      <c r="A267" s="3" t="s">
        <v>537</v>
      </c>
      <c r="B267" s="3"/>
      <c r="C267" s="74">
        <v>0</v>
      </c>
      <c r="D267" s="74">
        <v>0</v>
      </c>
      <c r="E267" s="74">
        <v>0</v>
      </c>
      <c r="F267" s="74">
        <v>0</v>
      </c>
      <c r="G267" s="74">
        <v>0</v>
      </c>
      <c r="H267" s="74">
        <v>0</v>
      </c>
      <c r="I267" s="74">
        <v>0</v>
      </c>
      <c r="J267" s="74">
        <v>0</v>
      </c>
      <c r="K267" s="74">
        <v>0</v>
      </c>
      <c r="L267" s="74">
        <v>0</v>
      </c>
      <c r="M267" s="74">
        <v>0</v>
      </c>
      <c r="N267" s="78">
        <f>Sum(C267:M267)</f>
        <v>0</v>
      </c>
      <c r="O267" s="76">
        <f>(N267/N269)</f>
        <v>0</v>
      </c>
      <c r="P267" s="0" t="s">
        <v>538</v>
      </c>
    </row>
    <row r="268">
      <c r="A268" s="3" t="s">
        <v>539</v>
      </c>
      <c r="B268" s="3"/>
      <c r="C268" s="74">
        <v>0</v>
      </c>
      <c r="D268" s="74">
        <v>0</v>
      </c>
      <c r="E268" s="74">
        <v>0</v>
      </c>
      <c r="F268" s="74">
        <v>0</v>
      </c>
      <c r="G268" s="74">
        <v>0</v>
      </c>
      <c r="H268" s="74">
        <v>0</v>
      </c>
      <c r="I268" s="74">
        <v>0</v>
      </c>
      <c r="J268" s="74">
        <v>0</v>
      </c>
      <c r="K268" s="74">
        <v>0</v>
      </c>
      <c r="L268" s="74">
        <v>0</v>
      </c>
      <c r="M268" s="74">
        <v>0</v>
      </c>
      <c r="N268" s="78">
        <f>Sum(C268:M268)</f>
        <v>0</v>
      </c>
      <c r="O268" s="76">
        <f>(N268/N269)</f>
        <v>0</v>
      </c>
      <c r="P268" s="0" t="s">
        <v>540</v>
      </c>
    </row>
    <row r="269">
      <c r="A269" s="3" t="s">
        <v>541</v>
      </c>
      <c r="B269" s="3"/>
      <c r="C269" s="74">
        <v>11867274</v>
      </c>
      <c r="D269" s="74">
        <v>5101744.5</v>
      </c>
      <c r="E269" s="74"/>
      <c r="F269" s="74">
        <v>1078914.93</v>
      </c>
      <c r="G269" s="74"/>
      <c r="H269" s="74">
        <v>1043346.67</v>
      </c>
      <c r="I269" s="74"/>
      <c r="J269" s="74"/>
      <c r="K269" s="74"/>
      <c r="L269" s="74"/>
      <c r="M269" s="74">
        <v>1237494.33</v>
      </c>
      <c r="N269" s="78">
        <f>Sum(C269:M269)</f>
        <v>20328774.43</v>
      </c>
    </row>
    <row r="270">
      <c r="A270" s="3"/>
      <c r="B270" s="3"/>
      <c r="C270" s="74"/>
      <c r="D270" s="74"/>
      <c r="E270" s="74"/>
      <c r="F270" s="74"/>
      <c r="G270" s="74"/>
      <c r="H270" s="74"/>
      <c r="I270" s="74"/>
      <c r="J270" s="74"/>
      <c r="K270" s="74"/>
      <c r="L270" s="74"/>
      <c r="M270" s="74"/>
      <c r="N270" s="78"/>
    </row>
    <row r="271">
      <c r="A271" s="3" t="s">
        <v>542</v>
      </c>
      <c r="B271" s="3"/>
      <c r="C271" s="74">
        <v>11867274</v>
      </c>
      <c r="D271" s="74">
        <v>5101744.5</v>
      </c>
      <c r="E271" s="74">
        <v>0</v>
      </c>
      <c r="F271" s="74">
        <v>1078914.93</v>
      </c>
      <c r="G271" s="74">
        <v>0</v>
      </c>
      <c r="H271" s="74">
        <v>1043346.67</v>
      </c>
      <c r="I271" s="74">
        <v>0</v>
      </c>
      <c r="J271" s="74">
        <v>0</v>
      </c>
      <c r="K271" s="74">
        <v>0</v>
      </c>
      <c r="L271" s="74">
        <v>0</v>
      </c>
      <c r="M271" s="74">
        <v>1237494.33</v>
      </c>
      <c r="N271" s="78">
        <f>Sum(C271:M271)</f>
        <v>20328774.43</v>
      </c>
    </row>
    <row r="273">
      <c r="A273" s="22" t="s">
        <v>543</v>
      </c>
      <c r="C273" s="22" t="s">
        <v>363</v>
      </c>
      <c r="D273" s="22"/>
      <c r="E273" s="22"/>
      <c r="F273" s="22"/>
      <c r="G273" s="22"/>
      <c r="H273" s="22"/>
      <c r="I273" s="22"/>
      <c r="J273" s="22"/>
      <c r="K273" s="22"/>
      <c r="L273" s="22"/>
      <c r="M273" s="22"/>
    </row>
    <row r="274">
      <c r="A274" s="22"/>
      <c r="C274" s="22">
        <v>2026</v>
      </c>
      <c r="D274" s="22">
        <v>2027</v>
      </c>
      <c r="E274" s="22">
        <v>2028</v>
      </c>
      <c r="F274" s="22">
        <v>2029</v>
      </c>
      <c r="G274" s="22">
        <v>2030</v>
      </c>
      <c r="H274" s="22">
        <v>2031</v>
      </c>
      <c r="I274" s="22">
        <v>2032</v>
      </c>
      <c r="J274" s="22">
        <v>2033</v>
      </c>
      <c r="K274" s="22">
        <v>2034</v>
      </c>
      <c r="L274" s="22">
        <v>2035</v>
      </c>
      <c r="M274" s="22">
        <v>2036</v>
      </c>
    </row>
    <row r="275">
      <c r="A275" s="3"/>
      <c r="B275" s="3"/>
      <c r="C275" s="74"/>
      <c r="D275" s="74"/>
      <c r="E275" s="74"/>
      <c r="F275" s="74"/>
      <c r="G275" s="74"/>
      <c r="H275" s="74"/>
      <c r="I275" s="74"/>
      <c r="J275" s="74"/>
      <c r="K275" s="74"/>
      <c r="L275" s="74"/>
      <c r="M275" s="74"/>
      <c r="N275" s="78">
        <f>Sum(C275:M275)</f>
        <v>0</v>
      </c>
    </row>
    <row r="278">
      <c r="A278" s="22" t="s">
        <v>473</v>
      </c>
      <c r="C278" s="22" t="s">
        <v>544</v>
      </c>
      <c r="D278" s="22"/>
      <c r="E278" s="22"/>
      <c r="F278" s="22"/>
      <c r="G278" s="22"/>
      <c r="H278" s="22"/>
      <c r="I278" s="22"/>
      <c r="J278" s="22"/>
      <c r="K278" s="22"/>
      <c r="L278" s="22"/>
      <c r="M278" s="22"/>
    </row>
    <row r="279">
      <c r="A279" s="22"/>
      <c r="C279" s="22">
        <v>2026</v>
      </c>
      <c r="D279" s="22">
        <v>2027</v>
      </c>
      <c r="E279" s="22">
        <v>2028</v>
      </c>
      <c r="F279" s="22">
        <v>2029</v>
      </c>
      <c r="G279" s="22">
        <v>2030</v>
      </c>
      <c r="H279" s="22">
        <v>2031</v>
      </c>
      <c r="I279" s="22">
        <v>2032</v>
      </c>
      <c r="J279" s="22">
        <v>2033</v>
      </c>
      <c r="K279" s="22">
        <v>2034</v>
      </c>
      <c r="L279" s="22">
        <v>2035</v>
      </c>
      <c r="M279" s="22">
        <v>2036</v>
      </c>
    </row>
    <row r="280">
      <c r="A280" s="3" t="s">
        <v>545</v>
      </c>
      <c r="B280" s="3"/>
      <c r="C280" s="90">
        <v>0</v>
      </c>
      <c r="D280" s="90">
        <v>0</v>
      </c>
      <c r="E280" s="90">
        <v>0</v>
      </c>
      <c r="F280" s="90">
        <v>0</v>
      </c>
      <c r="G280" s="90">
        <v>0</v>
      </c>
      <c r="H280" s="90">
        <v>0</v>
      </c>
      <c r="I280" s="90">
        <v>0</v>
      </c>
      <c r="J280" s="90">
        <v>0</v>
      </c>
      <c r="K280" s="90">
        <v>0</v>
      </c>
      <c r="L280" s="90">
        <v>0</v>
      </c>
      <c r="M280" s="90">
        <v>0</v>
      </c>
    </row>
    <row r="281">
      <c r="A281" s="3" t="s">
        <v>546</v>
      </c>
      <c r="B281" s="3"/>
      <c r="C281" s="90">
        <v>0</v>
      </c>
      <c r="D281" s="90">
        <v>0</v>
      </c>
      <c r="E281" s="90">
        <v>0</v>
      </c>
      <c r="F281" s="90">
        <v>0</v>
      </c>
      <c r="G281" s="90">
        <v>0</v>
      </c>
      <c r="H281" s="90">
        <v>0</v>
      </c>
      <c r="I281" s="90">
        <v>0</v>
      </c>
      <c r="J281" s="90">
        <v>0</v>
      </c>
      <c r="K281" s="90">
        <v>0</v>
      </c>
      <c r="L281" s="90">
        <v>0</v>
      </c>
      <c r="M281" s="90">
        <v>0</v>
      </c>
    </row>
    <row r="282">
      <c r="A282" s="3" t="s">
        <v>547</v>
      </c>
      <c r="B282" s="3"/>
      <c r="C282" s="90">
        <v>0</v>
      </c>
      <c r="D282" s="90">
        <v>0</v>
      </c>
      <c r="E282" s="90">
        <v>0</v>
      </c>
      <c r="F282" s="90">
        <v>0</v>
      </c>
      <c r="G282" s="90">
        <v>0</v>
      </c>
      <c r="H282" s="90">
        <v>0</v>
      </c>
      <c r="I282" s="90">
        <v>0</v>
      </c>
      <c r="J282" s="90">
        <v>0</v>
      </c>
      <c r="K282" s="90">
        <v>0</v>
      </c>
      <c r="L282" s="90">
        <v>0</v>
      </c>
      <c r="M282" s="90">
        <v>0</v>
      </c>
    </row>
    <row r="283">
      <c r="A283" s="3" t="s">
        <v>548</v>
      </c>
      <c r="B283" s="3"/>
      <c r="C283" s="90">
        <v>0</v>
      </c>
      <c r="D283" s="90">
        <v>0</v>
      </c>
      <c r="E283" s="90">
        <v>0</v>
      </c>
      <c r="F283" s="90">
        <v>0</v>
      </c>
      <c r="G283" s="90">
        <v>0</v>
      </c>
      <c r="H283" s="90">
        <v>0</v>
      </c>
      <c r="I283" s="90">
        <v>0</v>
      </c>
      <c r="J283" s="90">
        <v>0</v>
      </c>
      <c r="K283" s="90">
        <v>0</v>
      </c>
      <c r="L283" s="90">
        <v>0</v>
      </c>
      <c r="M283" s="90">
        <v>0</v>
      </c>
    </row>
    <row r="284">
      <c r="A284" s="3" t="s">
        <v>549</v>
      </c>
      <c r="B284" s="3"/>
      <c r="C284" s="90">
        <v>11867274</v>
      </c>
      <c r="D284" s="90">
        <v>5101744.5</v>
      </c>
      <c r="E284" s="90">
        <v>0</v>
      </c>
      <c r="F284" s="90">
        <v>1078914.93</v>
      </c>
      <c r="G284" s="90">
        <v>0</v>
      </c>
      <c r="H284" s="90">
        <v>1043346.67</v>
      </c>
      <c r="I284" s="90">
        <v>0</v>
      </c>
      <c r="J284" s="90">
        <v>0</v>
      </c>
      <c r="K284" s="90">
        <v>0</v>
      </c>
      <c r="L284" s="90">
        <v>0</v>
      </c>
      <c r="M284" s="90">
        <v>1237494.33</v>
      </c>
    </row>
    <row r="285">
      <c r="A285" s="3" t="s">
        <v>550</v>
      </c>
      <c r="B285" s="3"/>
      <c r="C285" s="90">
        <v>0</v>
      </c>
      <c r="D285" s="90">
        <v>0</v>
      </c>
      <c r="E285" s="90">
        <v>0</v>
      </c>
      <c r="F285" s="90">
        <v>0</v>
      </c>
      <c r="G285" s="90">
        <v>0</v>
      </c>
      <c r="H285" s="90">
        <v>0</v>
      </c>
      <c r="I285" s="90">
        <v>0</v>
      </c>
      <c r="J285" s="90">
        <v>0</v>
      </c>
      <c r="K285" s="90">
        <v>0</v>
      </c>
      <c r="L285" s="90">
        <v>0</v>
      </c>
      <c r="M285" s="90">
        <v>0</v>
      </c>
    </row>
    <row r="286">
      <c r="A286" s="3" t="s">
        <v>551</v>
      </c>
      <c r="B286" s="3"/>
      <c r="C286" s="90">
        <v>11867274</v>
      </c>
      <c r="D286" s="90">
        <v>5101744.5</v>
      </c>
      <c r="E286" s="90"/>
      <c r="F286" s="90">
        <v>1078914.93</v>
      </c>
      <c r="G286" s="90"/>
      <c r="H286" s="90">
        <v>1043346.67</v>
      </c>
      <c r="I286" s="90"/>
      <c r="J286" s="90"/>
      <c r="K286" s="90"/>
      <c r="L286" s="90"/>
      <c r="M286" s="90">
        <v>1237494.33</v>
      </c>
    </row>
    <row r="288">
      <c r="A288" s="25" t="s">
        <v>137</v>
      </c>
      <c r="B288" s="25"/>
      <c r="C288" s="25"/>
      <c r="D288" s="25"/>
      <c r="E288" s="25"/>
      <c r="F288" s="25"/>
      <c r="G288" s="25"/>
      <c r="H288" s="25"/>
      <c r="I288" s="25"/>
      <c r="J288" s="25"/>
      <c r="K288" s="25"/>
      <c r="L288" s="24"/>
      <c r="M288" s="24"/>
    </row>
    <row r="291">
      <c r="A291" s="22" t="s">
        <v>363</v>
      </c>
      <c r="C291" s="22" t="s">
        <v>502</v>
      </c>
      <c r="D291" s="22"/>
      <c r="E291" s="22"/>
      <c r="F291" s="22"/>
      <c r="G291" s="22"/>
      <c r="H291" s="22"/>
      <c r="I291" s="22"/>
      <c r="J291" s="22"/>
      <c r="K291" s="22"/>
      <c r="L291" s="22"/>
      <c r="M291" s="22"/>
    </row>
    <row r="292">
      <c r="A292" s="22"/>
      <c r="C292" s="22">
        <v>2026</v>
      </c>
      <c r="D292" s="22">
        <v>2027</v>
      </c>
      <c r="E292" s="22">
        <v>2028</v>
      </c>
      <c r="F292" s="22">
        <v>2029</v>
      </c>
      <c r="G292" s="22">
        <v>2030</v>
      </c>
      <c r="H292" s="22">
        <v>2031</v>
      </c>
      <c r="I292" s="22">
        <v>2032</v>
      </c>
      <c r="J292" s="22">
        <v>2033</v>
      </c>
      <c r="K292" s="22">
        <v>2034</v>
      </c>
      <c r="L292" s="22">
        <v>2035</v>
      </c>
      <c r="M292" s="22">
        <v>2036</v>
      </c>
    </row>
    <row r="293">
      <c r="A293" s="3" t="s">
        <v>504</v>
      </c>
      <c r="B293" s="3"/>
      <c r="C293" s="82">
        <v>0</v>
      </c>
      <c r="D293" s="82">
        <v>0</v>
      </c>
      <c r="E293" s="82">
        <v>0</v>
      </c>
      <c r="F293" s="82">
        <v>0</v>
      </c>
      <c r="G293" s="82">
        <v>0</v>
      </c>
      <c r="H293" s="82">
        <v>0</v>
      </c>
      <c r="I293" s="82">
        <v>0</v>
      </c>
      <c r="J293" s="82">
        <v>0</v>
      </c>
      <c r="K293" s="82">
        <v>0</v>
      </c>
      <c r="L293" s="82">
        <v>0</v>
      </c>
      <c r="M293" s="82">
        <v>0</v>
      </c>
    </row>
    <row r="294">
      <c r="A294" s="3" t="s">
        <v>506</v>
      </c>
      <c r="B294" s="3"/>
      <c r="C294" s="83">
        <v>0</v>
      </c>
      <c r="D294" s="83">
        <v>0</v>
      </c>
      <c r="E294" s="83">
        <v>0</v>
      </c>
      <c r="F294" s="83">
        <v>0</v>
      </c>
      <c r="G294" s="83">
        <v>0</v>
      </c>
      <c r="H294" s="83">
        <v>0</v>
      </c>
      <c r="I294" s="83">
        <v>0</v>
      </c>
      <c r="J294" s="83">
        <v>0</v>
      </c>
      <c r="K294" s="83">
        <v>0</v>
      </c>
      <c r="L294" s="83">
        <v>0</v>
      </c>
      <c r="M294" s="83">
        <v>0</v>
      </c>
    </row>
    <row r="295">
      <c r="A295" s="3" t="s">
        <v>507</v>
      </c>
      <c r="B295" s="3"/>
      <c r="C295" s="83">
        <v>0</v>
      </c>
      <c r="D295" s="83">
        <v>0</v>
      </c>
      <c r="E295" s="83">
        <v>0</v>
      </c>
      <c r="F295" s="83">
        <v>0</v>
      </c>
      <c r="G295" s="83">
        <v>0</v>
      </c>
      <c r="H295" s="83">
        <v>0</v>
      </c>
      <c r="I295" s="83">
        <v>0</v>
      </c>
      <c r="J295" s="83">
        <v>0</v>
      </c>
      <c r="K295" s="83">
        <v>0</v>
      </c>
      <c r="L295" s="83">
        <v>0</v>
      </c>
      <c r="M295" s="83">
        <v>0</v>
      </c>
    </row>
    <row r="296">
      <c r="A296" s="3" t="s">
        <v>508</v>
      </c>
      <c r="B296" s="3"/>
      <c r="C296" s="83">
        <v>0</v>
      </c>
      <c r="D296" s="83">
        <v>0</v>
      </c>
      <c r="E296" s="83">
        <v>0</v>
      </c>
      <c r="F296" s="83">
        <v>0</v>
      </c>
      <c r="G296" s="83">
        <v>0</v>
      </c>
      <c r="H296" s="83">
        <v>0</v>
      </c>
      <c r="I296" s="83">
        <v>0</v>
      </c>
      <c r="J296" s="83">
        <v>0</v>
      </c>
      <c r="K296" s="83">
        <v>0</v>
      </c>
      <c r="L296" s="83">
        <v>0</v>
      </c>
      <c r="M296" s="83">
        <v>0</v>
      </c>
    </row>
    <row r="297">
      <c r="A297" s="3" t="s">
        <v>509</v>
      </c>
      <c r="B297" s="3"/>
      <c r="C297" s="83">
        <v>0</v>
      </c>
      <c r="D297" s="83">
        <v>0</v>
      </c>
      <c r="E297" s="83">
        <v>0</v>
      </c>
      <c r="F297" s="83">
        <v>0</v>
      </c>
      <c r="G297" s="83">
        <v>0</v>
      </c>
      <c r="H297" s="83">
        <v>0</v>
      </c>
      <c r="I297" s="83">
        <v>0</v>
      </c>
      <c r="J297" s="83">
        <v>0</v>
      </c>
      <c r="K297" s="83">
        <v>0</v>
      </c>
      <c r="L297" s="83">
        <v>0</v>
      </c>
      <c r="M297" s="83">
        <v>0</v>
      </c>
    </row>
    <row r="298">
      <c r="A298" s="3" t="s">
        <v>510</v>
      </c>
      <c r="B298" s="3"/>
      <c r="C298" s="83">
        <v>0</v>
      </c>
      <c r="D298" s="83">
        <v>0</v>
      </c>
      <c r="E298" s="83">
        <v>0</v>
      </c>
      <c r="F298" s="83">
        <v>0</v>
      </c>
      <c r="G298" s="83">
        <v>0</v>
      </c>
      <c r="H298" s="83">
        <v>0</v>
      </c>
      <c r="I298" s="83">
        <v>0</v>
      </c>
      <c r="J298" s="83">
        <v>0</v>
      </c>
      <c r="K298" s="83">
        <v>0</v>
      </c>
      <c r="L298" s="83">
        <v>0</v>
      </c>
      <c r="M298" s="83">
        <v>0</v>
      </c>
    </row>
    <row r="302">
      <c r="A302" s="22" t="s">
        <v>529</v>
      </c>
      <c r="C302" s="22" t="s">
        <v>363</v>
      </c>
      <c r="D302" s="22"/>
      <c r="E302" s="22"/>
      <c r="F302" s="22"/>
      <c r="G302" s="22"/>
      <c r="H302" s="22"/>
      <c r="I302" s="22"/>
      <c r="J302" s="22"/>
      <c r="K302" s="22"/>
      <c r="L302" s="22"/>
      <c r="M302" s="22"/>
    </row>
    <row r="303">
      <c r="A303" s="22"/>
      <c r="B303" s="3"/>
      <c r="C303" s="22">
        <v>2026</v>
      </c>
      <c r="D303" s="22">
        <v>2027</v>
      </c>
      <c r="E303" s="22">
        <v>2028</v>
      </c>
      <c r="F303" s="22">
        <v>2029</v>
      </c>
      <c r="G303" s="22">
        <v>2030</v>
      </c>
      <c r="H303" s="22">
        <v>2031</v>
      </c>
      <c r="I303" s="22">
        <v>2032</v>
      </c>
      <c r="J303" s="22">
        <v>2033</v>
      </c>
      <c r="K303" s="22">
        <v>2034</v>
      </c>
      <c r="L303" s="22">
        <v>2035</v>
      </c>
      <c r="M303" s="22">
        <v>2036</v>
      </c>
      <c r="N303" s="22" t="s">
        <v>530</v>
      </c>
    </row>
    <row r="304">
      <c r="A304" s="3" t="s">
        <v>117</v>
      </c>
      <c r="B304" s="3"/>
      <c r="C304" s="74">
        <v>0</v>
      </c>
      <c r="D304" s="74">
        <v>0</v>
      </c>
      <c r="E304" s="74">
        <v>0</v>
      </c>
      <c r="F304" s="74">
        <v>0</v>
      </c>
      <c r="G304" s="74">
        <v>0</v>
      </c>
      <c r="H304" s="74">
        <v>0</v>
      </c>
      <c r="I304" s="74">
        <v>0</v>
      </c>
      <c r="J304" s="74">
        <v>0</v>
      </c>
      <c r="K304" s="74">
        <v>0</v>
      </c>
      <c r="L304" s="74">
        <v>0</v>
      </c>
      <c r="M304" s="74">
        <v>0</v>
      </c>
      <c r="N304" s="78">
        <f>Sum(C304:M304)</f>
        <v>0</v>
      </c>
      <c r="O304" s="76" t="e">
        <f>(N304/N311)</f>
        <v>#DIV/0!</v>
      </c>
      <c r="P304" s="0" t="s">
        <v>531</v>
      </c>
    </row>
    <row r="305">
      <c r="A305" s="3" t="s">
        <v>121</v>
      </c>
      <c r="B305" s="3"/>
      <c r="C305" s="74">
        <v>0</v>
      </c>
      <c r="D305" s="74">
        <v>0</v>
      </c>
      <c r="E305" s="74">
        <v>0</v>
      </c>
      <c r="F305" s="74">
        <v>0</v>
      </c>
      <c r="G305" s="74">
        <v>0</v>
      </c>
      <c r="H305" s="74">
        <v>0</v>
      </c>
      <c r="I305" s="74">
        <v>0</v>
      </c>
      <c r="J305" s="74">
        <v>0</v>
      </c>
      <c r="K305" s="74">
        <v>0</v>
      </c>
      <c r="L305" s="74">
        <v>0</v>
      </c>
      <c r="M305" s="74">
        <v>0</v>
      </c>
      <c r="N305" s="78">
        <f>Sum(C305:M305)</f>
        <v>0</v>
      </c>
      <c r="O305" s="76" t="e">
        <f>(N305/N311)</f>
        <v>#DIV/0!</v>
      </c>
      <c r="P305" s="0" t="s">
        <v>532</v>
      </c>
    </row>
    <row r="306">
      <c r="A306" s="3" t="s">
        <v>122</v>
      </c>
      <c r="B306" s="3"/>
      <c r="C306" s="74">
        <v>0</v>
      </c>
      <c r="D306" s="74">
        <v>0</v>
      </c>
      <c r="E306" s="74">
        <v>0</v>
      </c>
      <c r="F306" s="74">
        <v>0</v>
      </c>
      <c r="G306" s="74">
        <v>0</v>
      </c>
      <c r="H306" s="74">
        <v>0</v>
      </c>
      <c r="I306" s="74">
        <v>0</v>
      </c>
      <c r="J306" s="74">
        <v>0</v>
      </c>
      <c r="K306" s="74">
        <v>0</v>
      </c>
      <c r="L306" s="74">
        <v>0</v>
      </c>
      <c r="M306" s="74">
        <v>0</v>
      </c>
      <c r="N306" s="78">
        <f>Sum(C306:M306)</f>
        <v>0</v>
      </c>
      <c r="O306" s="76" t="e">
        <f>(N306/N311)</f>
        <v>#DIV/0!</v>
      </c>
      <c r="P306" s="0" t="s">
        <v>533</v>
      </c>
    </row>
    <row r="307">
      <c r="A307" s="3" t="s">
        <v>124</v>
      </c>
      <c r="B307" s="3"/>
      <c r="C307" s="74">
        <v>0</v>
      </c>
      <c r="D307" s="74">
        <v>0</v>
      </c>
      <c r="E307" s="74">
        <v>0</v>
      </c>
      <c r="F307" s="74">
        <v>0</v>
      </c>
      <c r="G307" s="74">
        <v>0</v>
      </c>
      <c r="H307" s="74">
        <v>0</v>
      </c>
      <c r="I307" s="74">
        <v>0</v>
      </c>
      <c r="J307" s="74">
        <v>0</v>
      </c>
      <c r="K307" s="74">
        <v>0</v>
      </c>
      <c r="L307" s="74">
        <v>0</v>
      </c>
      <c r="M307" s="74">
        <v>0</v>
      </c>
      <c r="N307" s="78">
        <f>Sum(C307:M307)</f>
        <v>0</v>
      </c>
      <c r="O307" s="76" t="e">
        <f>(N307/N311)</f>
        <v>#DIV/0!</v>
      </c>
      <c r="P307" s="0" t="s">
        <v>534</v>
      </c>
    </row>
    <row r="308">
      <c r="A308" s="3" t="s">
        <v>535</v>
      </c>
      <c r="B308" s="3"/>
      <c r="C308" s="74">
        <v>0</v>
      </c>
      <c r="D308" s="74">
        <v>0</v>
      </c>
      <c r="E308" s="74">
        <v>0</v>
      </c>
      <c r="F308" s="74">
        <v>0</v>
      </c>
      <c r="G308" s="74">
        <v>0</v>
      </c>
      <c r="H308" s="74">
        <v>0</v>
      </c>
      <c r="I308" s="74">
        <v>0</v>
      </c>
      <c r="J308" s="74">
        <v>0</v>
      </c>
      <c r="K308" s="74">
        <v>0</v>
      </c>
      <c r="L308" s="74">
        <v>0</v>
      </c>
      <c r="M308" s="74">
        <v>0</v>
      </c>
      <c r="N308" s="78">
        <f>Sum(C308:M308)</f>
        <v>0</v>
      </c>
      <c r="O308" s="76" t="e">
        <f>(N308/N311)</f>
        <v>#DIV/0!</v>
      </c>
      <c r="P308" s="0" t="s">
        <v>536</v>
      </c>
    </row>
    <row r="309">
      <c r="A309" s="3" t="s">
        <v>537</v>
      </c>
      <c r="B309" s="3"/>
      <c r="C309" s="74">
        <v>0</v>
      </c>
      <c r="D309" s="74">
        <v>0</v>
      </c>
      <c r="E309" s="74">
        <v>0</v>
      </c>
      <c r="F309" s="74">
        <v>0</v>
      </c>
      <c r="G309" s="74">
        <v>0</v>
      </c>
      <c r="H309" s="74">
        <v>0</v>
      </c>
      <c r="I309" s="74">
        <v>0</v>
      </c>
      <c r="J309" s="74">
        <v>0</v>
      </c>
      <c r="K309" s="74">
        <v>0</v>
      </c>
      <c r="L309" s="74">
        <v>0</v>
      </c>
      <c r="M309" s="74">
        <v>0</v>
      </c>
      <c r="N309" s="78">
        <f>Sum(C309:M309)</f>
        <v>0</v>
      </c>
      <c r="O309" s="76" t="e">
        <f>(N309/N311)</f>
        <v>#DIV/0!</v>
      </c>
      <c r="P309" s="0" t="s">
        <v>538</v>
      </c>
    </row>
    <row r="310">
      <c r="A310" s="3" t="s">
        <v>539</v>
      </c>
      <c r="B310" s="3"/>
      <c r="C310" s="74">
        <v>0</v>
      </c>
      <c r="D310" s="74">
        <v>0</v>
      </c>
      <c r="E310" s="74">
        <v>0</v>
      </c>
      <c r="F310" s="74">
        <v>0</v>
      </c>
      <c r="G310" s="74">
        <v>0</v>
      </c>
      <c r="H310" s="74">
        <v>0</v>
      </c>
      <c r="I310" s="74">
        <v>0</v>
      </c>
      <c r="J310" s="74">
        <v>0</v>
      </c>
      <c r="K310" s="74">
        <v>0</v>
      </c>
      <c r="L310" s="74">
        <v>0</v>
      </c>
      <c r="M310" s="74">
        <v>0</v>
      </c>
      <c r="N310" s="78">
        <f>Sum(C310:M310)</f>
        <v>0</v>
      </c>
      <c r="O310" s="76" t="e">
        <f>(N310/N311)</f>
        <v>#DIV/0!</v>
      </c>
      <c r="P310" s="0" t="s">
        <v>540</v>
      </c>
    </row>
    <row r="311">
      <c r="A311" s="3" t="s">
        <v>541</v>
      </c>
      <c r="B311" s="3"/>
      <c r="C311" s="74"/>
      <c r="D311" s="74"/>
      <c r="E311" s="74"/>
      <c r="F311" s="74"/>
      <c r="G311" s="74"/>
      <c r="H311" s="74"/>
      <c r="I311" s="74"/>
      <c r="J311" s="74"/>
      <c r="K311" s="74"/>
      <c r="L311" s="74"/>
      <c r="M311" s="74"/>
      <c r="N311" s="78">
        <f>Sum(C311:M311)</f>
        <v>0</v>
      </c>
    </row>
    <row r="312">
      <c r="A312" s="3"/>
      <c r="B312" s="3"/>
      <c r="C312" s="74"/>
      <c r="D312" s="74"/>
      <c r="E312" s="74"/>
      <c r="F312" s="74"/>
      <c r="G312" s="74"/>
      <c r="H312" s="74"/>
      <c r="I312" s="74"/>
      <c r="J312" s="74"/>
      <c r="K312" s="74"/>
      <c r="L312" s="74"/>
      <c r="M312" s="74"/>
      <c r="N312" s="78"/>
    </row>
    <row r="313">
      <c r="A313" s="3" t="s">
        <v>542</v>
      </c>
      <c r="B313" s="3"/>
      <c r="C313" s="74">
        <v>0</v>
      </c>
      <c r="D313" s="74">
        <v>0</v>
      </c>
      <c r="E313" s="74">
        <v>0</v>
      </c>
      <c r="F313" s="74">
        <v>0</v>
      </c>
      <c r="G313" s="74">
        <v>0</v>
      </c>
      <c r="H313" s="74">
        <v>0</v>
      </c>
      <c r="I313" s="74">
        <v>0</v>
      </c>
      <c r="J313" s="74">
        <v>0</v>
      </c>
      <c r="K313" s="74">
        <v>0</v>
      </c>
      <c r="L313" s="74">
        <v>0</v>
      </c>
      <c r="M313" s="74">
        <v>0</v>
      </c>
      <c r="N313" s="78">
        <f>Sum(C313:M313)</f>
        <v>0</v>
      </c>
    </row>
    <row r="315">
      <c r="A315" s="22" t="s">
        <v>543</v>
      </c>
      <c r="C315" s="22" t="s">
        <v>363</v>
      </c>
      <c r="D315" s="22"/>
      <c r="E315" s="22"/>
      <c r="F315" s="22"/>
      <c r="G315" s="22"/>
      <c r="H315" s="22"/>
      <c r="I315" s="22"/>
      <c r="J315" s="22"/>
      <c r="K315" s="22"/>
      <c r="L315" s="22"/>
      <c r="M315" s="22"/>
    </row>
    <row r="316">
      <c r="A316" s="22"/>
      <c r="C316" s="22">
        <v>2026</v>
      </c>
      <c r="D316" s="22">
        <v>2027</v>
      </c>
      <c r="E316" s="22">
        <v>2028</v>
      </c>
      <c r="F316" s="22">
        <v>2029</v>
      </c>
      <c r="G316" s="22">
        <v>2030</v>
      </c>
      <c r="H316" s="22">
        <v>2031</v>
      </c>
      <c r="I316" s="22">
        <v>2032</v>
      </c>
      <c r="J316" s="22">
        <v>2033</v>
      </c>
      <c r="K316" s="22">
        <v>2034</v>
      </c>
      <c r="L316" s="22">
        <v>2035</v>
      </c>
      <c r="M316" s="22">
        <v>2036</v>
      </c>
    </row>
    <row r="317">
      <c r="A317" s="3"/>
      <c r="B317" s="3"/>
      <c r="C317" s="74"/>
      <c r="D317" s="74"/>
      <c r="E317" s="74"/>
      <c r="F317" s="74"/>
      <c r="G317" s="74"/>
      <c r="H317" s="74"/>
      <c r="I317" s="74"/>
      <c r="J317" s="74"/>
      <c r="K317" s="74"/>
      <c r="L317" s="74"/>
      <c r="M317" s="74"/>
      <c r="N317" s="78">
        <f>Sum(C317:M317)</f>
        <v>0</v>
      </c>
    </row>
    <row r="320">
      <c r="A320" s="22" t="s">
        <v>473</v>
      </c>
      <c r="C320" s="22" t="s">
        <v>544</v>
      </c>
      <c r="D320" s="22"/>
      <c r="E320" s="22"/>
      <c r="F320" s="22"/>
      <c r="G320" s="22"/>
      <c r="H320" s="22"/>
      <c r="I320" s="22"/>
      <c r="J320" s="22"/>
      <c r="K320" s="22"/>
      <c r="L320" s="22"/>
      <c r="M320" s="22"/>
    </row>
    <row r="321">
      <c r="A321" s="22"/>
      <c r="C321" s="22">
        <v>2026</v>
      </c>
      <c r="D321" s="22">
        <v>2027</v>
      </c>
      <c r="E321" s="22">
        <v>2028</v>
      </c>
      <c r="F321" s="22">
        <v>2029</v>
      </c>
      <c r="G321" s="22">
        <v>2030</v>
      </c>
      <c r="H321" s="22">
        <v>2031</v>
      </c>
      <c r="I321" s="22">
        <v>2032</v>
      </c>
      <c r="J321" s="22">
        <v>2033</v>
      </c>
      <c r="K321" s="22">
        <v>2034</v>
      </c>
      <c r="L321" s="22">
        <v>2035</v>
      </c>
      <c r="M321" s="22">
        <v>2036</v>
      </c>
    </row>
    <row r="322">
      <c r="A322" s="3" t="s">
        <v>545</v>
      </c>
      <c r="B322" s="3"/>
      <c r="C322" s="90">
        <v>0</v>
      </c>
      <c r="D322" s="90">
        <v>0</v>
      </c>
      <c r="E322" s="90">
        <v>0</v>
      </c>
      <c r="F322" s="90">
        <v>0</v>
      </c>
      <c r="G322" s="90">
        <v>0</v>
      </c>
      <c r="H322" s="90">
        <v>0</v>
      </c>
      <c r="I322" s="90">
        <v>0</v>
      </c>
      <c r="J322" s="90">
        <v>0</v>
      </c>
      <c r="K322" s="90">
        <v>0</v>
      </c>
      <c r="L322" s="90">
        <v>0</v>
      </c>
      <c r="M322" s="90">
        <v>0</v>
      </c>
    </row>
    <row r="323">
      <c r="A323" s="3" t="s">
        <v>546</v>
      </c>
      <c r="B323" s="3"/>
      <c r="C323" s="90">
        <v>0</v>
      </c>
      <c r="D323" s="90">
        <v>0</v>
      </c>
      <c r="E323" s="90">
        <v>0</v>
      </c>
      <c r="F323" s="90">
        <v>0</v>
      </c>
      <c r="G323" s="90">
        <v>0</v>
      </c>
      <c r="H323" s="90">
        <v>0</v>
      </c>
      <c r="I323" s="90">
        <v>0</v>
      </c>
      <c r="J323" s="90">
        <v>0</v>
      </c>
      <c r="K323" s="90">
        <v>0</v>
      </c>
      <c r="L323" s="90">
        <v>0</v>
      </c>
      <c r="M323" s="90">
        <v>0</v>
      </c>
    </row>
    <row r="324">
      <c r="A324" s="3" t="s">
        <v>547</v>
      </c>
      <c r="B324" s="3"/>
      <c r="C324" s="90">
        <v>0</v>
      </c>
      <c r="D324" s="90">
        <v>0</v>
      </c>
      <c r="E324" s="90">
        <v>0</v>
      </c>
      <c r="F324" s="90">
        <v>0</v>
      </c>
      <c r="G324" s="90">
        <v>0</v>
      </c>
      <c r="H324" s="90">
        <v>0</v>
      </c>
      <c r="I324" s="90">
        <v>0</v>
      </c>
      <c r="J324" s="90">
        <v>0</v>
      </c>
      <c r="K324" s="90">
        <v>0</v>
      </c>
      <c r="L324" s="90">
        <v>0</v>
      </c>
      <c r="M324" s="90">
        <v>0</v>
      </c>
    </row>
    <row r="325">
      <c r="A325" s="3" t="s">
        <v>548</v>
      </c>
      <c r="B325" s="3"/>
      <c r="C325" s="90">
        <v>0</v>
      </c>
      <c r="D325" s="90">
        <v>0</v>
      </c>
      <c r="E325" s="90">
        <v>0</v>
      </c>
      <c r="F325" s="90">
        <v>0</v>
      </c>
      <c r="G325" s="90">
        <v>0</v>
      </c>
      <c r="H325" s="90">
        <v>0</v>
      </c>
      <c r="I325" s="90">
        <v>0</v>
      </c>
      <c r="J325" s="90">
        <v>0</v>
      </c>
      <c r="K325" s="90">
        <v>0</v>
      </c>
      <c r="L325" s="90">
        <v>0</v>
      </c>
      <c r="M325" s="90">
        <v>0</v>
      </c>
    </row>
    <row r="326">
      <c r="A326" s="3" t="s">
        <v>549</v>
      </c>
      <c r="B326" s="3"/>
      <c r="C326" s="90">
        <v>0</v>
      </c>
      <c r="D326" s="90">
        <v>0</v>
      </c>
      <c r="E326" s="90">
        <v>0</v>
      </c>
      <c r="F326" s="90">
        <v>0</v>
      </c>
      <c r="G326" s="90">
        <v>0</v>
      </c>
      <c r="H326" s="90">
        <v>0</v>
      </c>
      <c r="I326" s="90">
        <v>0</v>
      </c>
      <c r="J326" s="90">
        <v>0</v>
      </c>
      <c r="K326" s="90">
        <v>0</v>
      </c>
      <c r="L326" s="90">
        <v>0</v>
      </c>
      <c r="M326" s="90">
        <v>0</v>
      </c>
    </row>
    <row r="327">
      <c r="A327" s="3" t="s">
        <v>550</v>
      </c>
      <c r="B327" s="3"/>
      <c r="C327" s="90">
        <v>0</v>
      </c>
      <c r="D327" s="90">
        <v>0</v>
      </c>
      <c r="E327" s="90">
        <v>0</v>
      </c>
      <c r="F327" s="90">
        <v>0</v>
      </c>
      <c r="G327" s="90">
        <v>0</v>
      </c>
      <c r="H327" s="90">
        <v>0</v>
      </c>
      <c r="I327" s="90">
        <v>0</v>
      </c>
      <c r="J327" s="90">
        <v>0</v>
      </c>
      <c r="K327" s="90">
        <v>0</v>
      </c>
      <c r="L327" s="90">
        <v>0</v>
      </c>
      <c r="M327" s="90">
        <v>0</v>
      </c>
    </row>
    <row r="328">
      <c r="A328" s="3" t="s">
        <v>551</v>
      </c>
      <c r="B328" s="3"/>
      <c r="C328" s="90">
        <v>0</v>
      </c>
      <c r="D328" s="90">
        <v>0</v>
      </c>
      <c r="E328" s="90"/>
      <c r="F328" s="90">
        <v>0</v>
      </c>
      <c r="G328" s="90"/>
      <c r="H328" s="90">
        <v>0</v>
      </c>
      <c r="I328" s="90"/>
      <c r="J328" s="90"/>
      <c r="K328" s="90"/>
      <c r="L328" s="90"/>
      <c r="M328" s="90">
        <v>0</v>
      </c>
    </row>
    <row r="330">
      <c r="A330" s="25" t="s">
        <v>138</v>
      </c>
      <c r="B330" s="25"/>
      <c r="C330" s="25"/>
      <c r="D330" s="25"/>
      <c r="E330" s="25"/>
      <c r="F330" s="25"/>
      <c r="G330" s="25"/>
      <c r="H330" s="25"/>
      <c r="I330" s="25"/>
      <c r="J330" s="25"/>
      <c r="K330" s="25"/>
      <c r="L330" s="24"/>
      <c r="M330" s="24"/>
    </row>
    <row r="333">
      <c r="A333" s="22" t="s">
        <v>363</v>
      </c>
      <c r="C333" s="22" t="s">
        <v>502</v>
      </c>
      <c r="D333" s="22"/>
      <c r="E333" s="22"/>
      <c r="F333" s="22"/>
      <c r="G333" s="22"/>
      <c r="H333" s="22"/>
      <c r="I333" s="22"/>
      <c r="J333" s="22"/>
      <c r="K333" s="22"/>
      <c r="L333" s="22"/>
      <c r="M333" s="22"/>
    </row>
    <row r="334">
      <c r="A334" s="22"/>
      <c r="C334" s="22">
        <v>2026</v>
      </c>
      <c r="D334" s="22">
        <v>2027</v>
      </c>
      <c r="E334" s="22">
        <v>2028</v>
      </c>
      <c r="F334" s="22">
        <v>2029</v>
      </c>
      <c r="G334" s="22">
        <v>2030</v>
      </c>
      <c r="H334" s="22">
        <v>2031</v>
      </c>
      <c r="I334" s="22">
        <v>2032</v>
      </c>
      <c r="J334" s="22">
        <v>2033</v>
      </c>
      <c r="K334" s="22">
        <v>2034</v>
      </c>
      <c r="L334" s="22">
        <v>2035</v>
      </c>
      <c r="M334" s="22">
        <v>2036</v>
      </c>
    </row>
    <row r="335">
      <c r="A335" s="3" t="s">
        <v>504</v>
      </c>
      <c r="B335" s="3"/>
      <c r="C335" s="82">
        <v>0</v>
      </c>
      <c r="D335" s="82">
        <v>0</v>
      </c>
      <c r="E335" s="82">
        <v>0</v>
      </c>
      <c r="F335" s="82">
        <v>0</v>
      </c>
      <c r="G335" s="82">
        <v>0</v>
      </c>
      <c r="H335" s="82">
        <v>0</v>
      </c>
      <c r="I335" s="82">
        <v>0</v>
      </c>
      <c r="J335" s="82">
        <v>0</v>
      </c>
      <c r="K335" s="82">
        <v>0</v>
      </c>
      <c r="L335" s="82">
        <v>0</v>
      </c>
      <c r="M335" s="82">
        <v>0</v>
      </c>
    </row>
    <row r="336">
      <c r="A336" s="3" t="s">
        <v>506</v>
      </c>
      <c r="B336" s="3"/>
      <c r="C336" s="83">
        <v>0</v>
      </c>
      <c r="D336" s="83">
        <v>0</v>
      </c>
      <c r="E336" s="83">
        <v>0</v>
      </c>
      <c r="F336" s="83">
        <v>0</v>
      </c>
      <c r="G336" s="83">
        <v>0</v>
      </c>
      <c r="H336" s="83">
        <v>0</v>
      </c>
      <c r="I336" s="83">
        <v>0</v>
      </c>
      <c r="J336" s="83">
        <v>0</v>
      </c>
      <c r="K336" s="83">
        <v>0</v>
      </c>
      <c r="L336" s="83">
        <v>0</v>
      </c>
      <c r="M336" s="83">
        <v>0</v>
      </c>
    </row>
    <row r="337">
      <c r="A337" s="3" t="s">
        <v>507</v>
      </c>
      <c r="B337" s="3"/>
      <c r="C337" s="83">
        <v>0</v>
      </c>
      <c r="D337" s="83">
        <v>0</v>
      </c>
      <c r="E337" s="83">
        <v>0</v>
      </c>
      <c r="F337" s="83">
        <v>0</v>
      </c>
      <c r="G337" s="83">
        <v>0</v>
      </c>
      <c r="H337" s="83">
        <v>0</v>
      </c>
      <c r="I337" s="83">
        <v>0</v>
      </c>
      <c r="J337" s="83">
        <v>0</v>
      </c>
      <c r="K337" s="83">
        <v>0</v>
      </c>
      <c r="L337" s="83">
        <v>0</v>
      </c>
      <c r="M337" s="83">
        <v>0</v>
      </c>
    </row>
    <row r="338">
      <c r="A338" s="3" t="s">
        <v>508</v>
      </c>
      <c r="B338" s="3"/>
      <c r="C338" s="83">
        <v>0</v>
      </c>
      <c r="D338" s="83">
        <v>0</v>
      </c>
      <c r="E338" s="83">
        <v>0</v>
      </c>
      <c r="F338" s="83">
        <v>0</v>
      </c>
      <c r="G338" s="83">
        <v>0</v>
      </c>
      <c r="H338" s="83">
        <v>0</v>
      </c>
      <c r="I338" s="83">
        <v>0</v>
      </c>
      <c r="J338" s="83">
        <v>0</v>
      </c>
      <c r="K338" s="83">
        <v>0</v>
      </c>
      <c r="L338" s="83">
        <v>0</v>
      </c>
      <c r="M338" s="83">
        <v>0</v>
      </c>
    </row>
    <row r="339">
      <c r="A339" s="3" t="s">
        <v>509</v>
      </c>
      <c r="B339" s="3"/>
      <c r="C339" s="83">
        <v>0</v>
      </c>
      <c r="D339" s="83">
        <v>0</v>
      </c>
      <c r="E339" s="83">
        <v>0</v>
      </c>
      <c r="F339" s="83">
        <v>0</v>
      </c>
      <c r="G339" s="83">
        <v>0</v>
      </c>
      <c r="H339" s="83">
        <v>0</v>
      </c>
      <c r="I339" s="83">
        <v>0</v>
      </c>
      <c r="J339" s="83">
        <v>0</v>
      </c>
      <c r="K339" s="83">
        <v>0</v>
      </c>
      <c r="L339" s="83">
        <v>0</v>
      </c>
      <c r="M339" s="83">
        <v>0</v>
      </c>
    </row>
    <row r="340">
      <c r="A340" s="3" t="s">
        <v>510</v>
      </c>
      <c r="B340" s="3"/>
      <c r="C340" s="83">
        <v>0</v>
      </c>
      <c r="D340" s="83">
        <v>0</v>
      </c>
      <c r="E340" s="83">
        <v>0</v>
      </c>
      <c r="F340" s="83">
        <v>0</v>
      </c>
      <c r="G340" s="83">
        <v>0</v>
      </c>
      <c r="H340" s="83">
        <v>0</v>
      </c>
      <c r="I340" s="83">
        <v>0</v>
      </c>
      <c r="J340" s="83">
        <v>0</v>
      </c>
      <c r="K340" s="83">
        <v>0</v>
      </c>
      <c r="L340" s="83">
        <v>0</v>
      </c>
      <c r="M340" s="83">
        <v>0</v>
      </c>
    </row>
    <row r="344">
      <c r="A344" s="22" t="s">
        <v>529</v>
      </c>
      <c r="C344" s="22" t="s">
        <v>363</v>
      </c>
      <c r="D344" s="22"/>
      <c r="E344" s="22"/>
      <c r="F344" s="22"/>
      <c r="G344" s="22"/>
      <c r="H344" s="22"/>
      <c r="I344" s="22"/>
      <c r="J344" s="22"/>
      <c r="K344" s="22"/>
      <c r="L344" s="22"/>
      <c r="M344" s="22"/>
    </row>
    <row r="345">
      <c r="A345" s="22"/>
      <c r="B345" s="3"/>
      <c r="C345" s="22">
        <v>2026</v>
      </c>
      <c r="D345" s="22">
        <v>2027</v>
      </c>
      <c r="E345" s="22">
        <v>2028</v>
      </c>
      <c r="F345" s="22">
        <v>2029</v>
      </c>
      <c r="G345" s="22">
        <v>2030</v>
      </c>
      <c r="H345" s="22">
        <v>2031</v>
      </c>
      <c r="I345" s="22">
        <v>2032</v>
      </c>
      <c r="J345" s="22">
        <v>2033</v>
      </c>
      <c r="K345" s="22">
        <v>2034</v>
      </c>
      <c r="L345" s="22">
        <v>2035</v>
      </c>
      <c r="M345" s="22">
        <v>2036</v>
      </c>
      <c r="N345" s="22" t="s">
        <v>530</v>
      </c>
    </row>
    <row r="346">
      <c r="A346" s="3" t="s">
        <v>117</v>
      </c>
      <c r="B346" s="3"/>
      <c r="C346" s="74">
        <v>0</v>
      </c>
      <c r="D346" s="74">
        <v>0</v>
      </c>
      <c r="E346" s="74">
        <v>0</v>
      </c>
      <c r="F346" s="74">
        <v>0</v>
      </c>
      <c r="G346" s="74">
        <v>0</v>
      </c>
      <c r="H346" s="74">
        <v>0</v>
      </c>
      <c r="I346" s="74">
        <v>0</v>
      </c>
      <c r="J346" s="74">
        <v>0</v>
      </c>
      <c r="K346" s="74">
        <v>0</v>
      </c>
      <c r="L346" s="74">
        <v>0</v>
      </c>
      <c r="M346" s="74">
        <v>0</v>
      </c>
      <c r="N346" s="78">
        <f>Sum(C346:M346)</f>
        <v>0</v>
      </c>
      <c r="O346" s="76" t="e">
        <f>(N346/N353)</f>
        <v>#DIV/0!</v>
      </c>
      <c r="P346" s="0" t="s">
        <v>531</v>
      </c>
    </row>
    <row r="347">
      <c r="A347" s="3" t="s">
        <v>121</v>
      </c>
      <c r="B347" s="3"/>
      <c r="C347" s="74">
        <v>0</v>
      </c>
      <c r="D347" s="74">
        <v>0</v>
      </c>
      <c r="E347" s="74">
        <v>0</v>
      </c>
      <c r="F347" s="74">
        <v>0</v>
      </c>
      <c r="G347" s="74">
        <v>0</v>
      </c>
      <c r="H347" s="74">
        <v>0</v>
      </c>
      <c r="I347" s="74">
        <v>0</v>
      </c>
      <c r="J347" s="74">
        <v>0</v>
      </c>
      <c r="K347" s="74">
        <v>0</v>
      </c>
      <c r="L347" s="74">
        <v>0</v>
      </c>
      <c r="M347" s="74">
        <v>0</v>
      </c>
      <c r="N347" s="78">
        <f>Sum(C347:M347)</f>
        <v>0</v>
      </c>
      <c r="O347" s="76" t="e">
        <f>(N347/N353)</f>
        <v>#DIV/0!</v>
      </c>
      <c r="P347" s="0" t="s">
        <v>532</v>
      </c>
    </row>
    <row r="348">
      <c r="A348" s="3" t="s">
        <v>122</v>
      </c>
      <c r="B348" s="3"/>
      <c r="C348" s="74">
        <v>0</v>
      </c>
      <c r="D348" s="74">
        <v>0</v>
      </c>
      <c r="E348" s="74">
        <v>0</v>
      </c>
      <c r="F348" s="74">
        <v>0</v>
      </c>
      <c r="G348" s="74">
        <v>0</v>
      </c>
      <c r="H348" s="74">
        <v>0</v>
      </c>
      <c r="I348" s="74">
        <v>0</v>
      </c>
      <c r="J348" s="74">
        <v>0</v>
      </c>
      <c r="K348" s="74">
        <v>0</v>
      </c>
      <c r="L348" s="74">
        <v>0</v>
      </c>
      <c r="M348" s="74">
        <v>0</v>
      </c>
      <c r="N348" s="78">
        <f>Sum(C348:M348)</f>
        <v>0</v>
      </c>
      <c r="O348" s="76" t="e">
        <f>(N348/N353)</f>
        <v>#DIV/0!</v>
      </c>
      <c r="P348" s="0" t="s">
        <v>533</v>
      </c>
    </row>
    <row r="349">
      <c r="A349" s="3" t="s">
        <v>124</v>
      </c>
      <c r="B349" s="3"/>
      <c r="C349" s="74">
        <v>0</v>
      </c>
      <c r="D349" s="74">
        <v>0</v>
      </c>
      <c r="E349" s="74">
        <v>0</v>
      </c>
      <c r="F349" s="74">
        <v>0</v>
      </c>
      <c r="G349" s="74">
        <v>0</v>
      </c>
      <c r="H349" s="74">
        <v>0</v>
      </c>
      <c r="I349" s="74">
        <v>0</v>
      </c>
      <c r="J349" s="74">
        <v>0</v>
      </c>
      <c r="K349" s="74">
        <v>0</v>
      </c>
      <c r="L349" s="74">
        <v>0</v>
      </c>
      <c r="M349" s="74">
        <v>0</v>
      </c>
      <c r="N349" s="78">
        <f>Sum(C349:M349)</f>
        <v>0</v>
      </c>
      <c r="O349" s="76" t="e">
        <f>(N349/N353)</f>
        <v>#DIV/0!</v>
      </c>
      <c r="P349" s="0" t="s">
        <v>534</v>
      </c>
    </row>
    <row r="350">
      <c r="A350" s="3" t="s">
        <v>535</v>
      </c>
      <c r="B350" s="3"/>
      <c r="C350" s="74">
        <v>0</v>
      </c>
      <c r="D350" s="74">
        <v>0</v>
      </c>
      <c r="E350" s="74">
        <v>0</v>
      </c>
      <c r="F350" s="74">
        <v>0</v>
      </c>
      <c r="G350" s="74">
        <v>0</v>
      </c>
      <c r="H350" s="74">
        <v>0</v>
      </c>
      <c r="I350" s="74">
        <v>0</v>
      </c>
      <c r="J350" s="74">
        <v>0</v>
      </c>
      <c r="K350" s="74">
        <v>0</v>
      </c>
      <c r="L350" s="74">
        <v>0</v>
      </c>
      <c r="M350" s="74">
        <v>0</v>
      </c>
      <c r="N350" s="78">
        <f>Sum(C350:M350)</f>
        <v>0</v>
      </c>
      <c r="O350" s="76" t="e">
        <f>(N350/N353)</f>
        <v>#DIV/0!</v>
      </c>
      <c r="P350" s="0" t="s">
        <v>536</v>
      </c>
    </row>
    <row r="351">
      <c r="A351" s="3" t="s">
        <v>537</v>
      </c>
      <c r="B351" s="3"/>
      <c r="C351" s="74">
        <v>0</v>
      </c>
      <c r="D351" s="74">
        <v>0</v>
      </c>
      <c r="E351" s="74">
        <v>0</v>
      </c>
      <c r="F351" s="74">
        <v>0</v>
      </c>
      <c r="G351" s="74">
        <v>0</v>
      </c>
      <c r="H351" s="74">
        <v>0</v>
      </c>
      <c r="I351" s="74">
        <v>0</v>
      </c>
      <c r="J351" s="74">
        <v>0</v>
      </c>
      <c r="K351" s="74">
        <v>0</v>
      </c>
      <c r="L351" s="74">
        <v>0</v>
      </c>
      <c r="M351" s="74">
        <v>0</v>
      </c>
      <c r="N351" s="78">
        <f>Sum(C351:M351)</f>
        <v>0</v>
      </c>
      <c r="O351" s="76" t="e">
        <f>(N351/N353)</f>
        <v>#DIV/0!</v>
      </c>
      <c r="P351" s="0" t="s">
        <v>538</v>
      </c>
    </row>
    <row r="352">
      <c r="A352" s="3" t="s">
        <v>539</v>
      </c>
      <c r="B352" s="3"/>
      <c r="C352" s="74">
        <v>0</v>
      </c>
      <c r="D352" s="74">
        <v>0</v>
      </c>
      <c r="E352" s="74">
        <v>0</v>
      </c>
      <c r="F352" s="74">
        <v>0</v>
      </c>
      <c r="G352" s="74">
        <v>0</v>
      </c>
      <c r="H352" s="74">
        <v>0</v>
      </c>
      <c r="I352" s="74">
        <v>0</v>
      </c>
      <c r="J352" s="74">
        <v>0</v>
      </c>
      <c r="K352" s="74">
        <v>0</v>
      </c>
      <c r="L352" s="74">
        <v>0</v>
      </c>
      <c r="M352" s="74">
        <v>0</v>
      </c>
      <c r="N352" s="78">
        <f>Sum(C352:M352)</f>
        <v>0</v>
      </c>
      <c r="O352" s="76" t="e">
        <f>(N352/N353)</f>
        <v>#DIV/0!</v>
      </c>
      <c r="P352" s="0" t="s">
        <v>540</v>
      </c>
    </row>
    <row r="353">
      <c r="A353" s="3" t="s">
        <v>541</v>
      </c>
      <c r="B353" s="3"/>
      <c r="C353" s="74"/>
      <c r="D353" s="74"/>
      <c r="E353" s="74"/>
      <c r="F353" s="74"/>
      <c r="G353" s="74"/>
      <c r="H353" s="74"/>
      <c r="I353" s="74"/>
      <c r="J353" s="74"/>
      <c r="K353" s="74"/>
      <c r="L353" s="74"/>
      <c r="M353" s="74"/>
      <c r="N353" s="78">
        <f>Sum(C353:M353)</f>
        <v>0</v>
      </c>
    </row>
    <row r="354">
      <c r="A354" s="3"/>
      <c r="B354" s="3"/>
      <c r="C354" s="74"/>
      <c r="D354" s="74"/>
      <c r="E354" s="74"/>
      <c r="F354" s="74"/>
      <c r="G354" s="74"/>
      <c r="H354" s="74"/>
      <c r="I354" s="74"/>
      <c r="J354" s="74"/>
      <c r="K354" s="74"/>
      <c r="L354" s="74"/>
      <c r="M354" s="74"/>
      <c r="N354" s="78"/>
    </row>
    <row r="355">
      <c r="A355" s="3" t="s">
        <v>542</v>
      </c>
      <c r="B355" s="3"/>
      <c r="C355" s="74">
        <v>0</v>
      </c>
      <c r="D355" s="74">
        <v>0</v>
      </c>
      <c r="E355" s="74">
        <v>0</v>
      </c>
      <c r="F355" s="74">
        <v>0</v>
      </c>
      <c r="G355" s="74">
        <v>0</v>
      </c>
      <c r="H355" s="74">
        <v>0</v>
      </c>
      <c r="I355" s="74">
        <v>0</v>
      </c>
      <c r="J355" s="74">
        <v>0</v>
      </c>
      <c r="K355" s="74">
        <v>0</v>
      </c>
      <c r="L355" s="74">
        <v>0</v>
      </c>
      <c r="M355" s="74">
        <v>0</v>
      </c>
      <c r="N355" s="78">
        <f>Sum(C355:M355)</f>
        <v>0</v>
      </c>
    </row>
    <row r="357">
      <c r="A357" s="22" t="s">
        <v>543</v>
      </c>
      <c r="C357" s="22" t="s">
        <v>363</v>
      </c>
      <c r="D357" s="22"/>
      <c r="E357" s="22"/>
      <c r="F357" s="22"/>
      <c r="G357" s="22"/>
      <c r="H357" s="22"/>
      <c r="I357" s="22"/>
      <c r="J357" s="22"/>
      <c r="K357" s="22"/>
      <c r="L357" s="22"/>
      <c r="M357" s="22"/>
    </row>
    <row r="358">
      <c r="A358" s="22"/>
      <c r="C358" s="22">
        <v>2026</v>
      </c>
      <c r="D358" s="22">
        <v>2027</v>
      </c>
      <c r="E358" s="22">
        <v>2028</v>
      </c>
      <c r="F358" s="22">
        <v>2029</v>
      </c>
      <c r="G358" s="22">
        <v>2030</v>
      </c>
      <c r="H358" s="22">
        <v>2031</v>
      </c>
      <c r="I358" s="22">
        <v>2032</v>
      </c>
      <c r="J358" s="22">
        <v>2033</v>
      </c>
      <c r="K358" s="22">
        <v>2034</v>
      </c>
      <c r="L358" s="22">
        <v>2035</v>
      </c>
      <c r="M358" s="22">
        <v>2036</v>
      </c>
    </row>
    <row r="359">
      <c r="A359" s="3"/>
      <c r="B359" s="3"/>
      <c r="C359" s="74"/>
      <c r="D359" s="74"/>
      <c r="E359" s="74"/>
      <c r="F359" s="74"/>
      <c r="G359" s="74"/>
      <c r="H359" s="74"/>
      <c r="I359" s="74"/>
      <c r="J359" s="74"/>
      <c r="K359" s="74"/>
      <c r="L359" s="74"/>
      <c r="M359" s="74"/>
      <c r="N359" s="78">
        <f>Sum(C359:M359)</f>
        <v>0</v>
      </c>
    </row>
    <row r="362">
      <c r="A362" s="22" t="s">
        <v>473</v>
      </c>
      <c r="C362" s="22" t="s">
        <v>544</v>
      </c>
      <c r="D362" s="22"/>
      <c r="E362" s="22"/>
      <c r="F362" s="22"/>
      <c r="G362" s="22"/>
      <c r="H362" s="22"/>
      <c r="I362" s="22"/>
      <c r="J362" s="22"/>
      <c r="K362" s="22"/>
      <c r="L362" s="22"/>
      <c r="M362" s="22"/>
    </row>
    <row r="363">
      <c r="A363" s="22"/>
      <c r="C363" s="22">
        <v>2026</v>
      </c>
      <c r="D363" s="22">
        <v>2027</v>
      </c>
      <c r="E363" s="22">
        <v>2028</v>
      </c>
      <c r="F363" s="22">
        <v>2029</v>
      </c>
      <c r="G363" s="22">
        <v>2030</v>
      </c>
      <c r="H363" s="22">
        <v>2031</v>
      </c>
      <c r="I363" s="22">
        <v>2032</v>
      </c>
      <c r="J363" s="22">
        <v>2033</v>
      </c>
      <c r="K363" s="22">
        <v>2034</v>
      </c>
      <c r="L363" s="22">
        <v>2035</v>
      </c>
      <c r="M363" s="22">
        <v>2036</v>
      </c>
    </row>
    <row r="364">
      <c r="A364" s="3" t="s">
        <v>545</v>
      </c>
      <c r="B364" s="3"/>
      <c r="C364" s="90">
        <v>0</v>
      </c>
      <c r="D364" s="90">
        <v>0</v>
      </c>
      <c r="E364" s="90">
        <v>0</v>
      </c>
      <c r="F364" s="90">
        <v>0</v>
      </c>
      <c r="G364" s="90">
        <v>0</v>
      </c>
      <c r="H364" s="90">
        <v>0</v>
      </c>
      <c r="I364" s="90">
        <v>0</v>
      </c>
      <c r="J364" s="90">
        <v>0</v>
      </c>
      <c r="K364" s="90">
        <v>0</v>
      </c>
      <c r="L364" s="90">
        <v>0</v>
      </c>
      <c r="M364" s="90">
        <v>0</v>
      </c>
    </row>
    <row r="365">
      <c r="A365" s="3" t="s">
        <v>546</v>
      </c>
      <c r="B365" s="3"/>
      <c r="C365" s="90">
        <v>0</v>
      </c>
      <c r="D365" s="90">
        <v>0</v>
      </c>
      <c r="E365" s="90">
        <v>0</v>
      </c>
      <c r="F365" s="90">
        <v>0</v>
      </c>
      <c r="G365" s="90">
        <v>0</v>
      </c>
      <c r="H365" s="90">
        <v>0</v>
      </c>
      <c r="I365" s="90">
        <v>0</v>
      </c>
      <c r="J365" s="90">
        <v>0</v>
      </c>
      <c r="K365" s="90">
        <v>0</v>
      </c>
      <c r="L365" s="90">
        <v>0</v>
      </c>
      <c r="M365" s="90">
        <v>0</v>
      </c>
    </row>
    <row r="366">
      <c r="A366" s="3" t="s">
        <v>547</v>
      </c>
      <c r="B366" s="3"/>
      <c r="C366" s="90">
        <v>0</v>
      </c>
      <c r="D366" s="90">
        <v>0</v>
      </c>
      <c r="E366" s="90">
        <v>0</v>
      </c>
      <c r="F366" s="90">
        <v>0</v>
      </c>
      <c r="G366" s="90">
        <v>0</v>
      </c>
      <c r="H366" s="90">
        <v>0</v>
      </c>
      <c r="I366" s="90">
        <v>0</v>
      </c>
      <c r="J366" s="90">
        <v>0</v>
      </c>
      <c r="K366" s="90">
        <v>0</v>
      </c>
      <c r="L366" s="90">
        <v>0</v>
      </c>
      <c r="M366" s="90">
        <v>0</v>
      </c>
    </row>
    <row r="367">
      <c r="A367" s="3" t="s">
        <v>548</v>
      </c>
      <c r="B367" s="3"/>
      <c r="C367" s="90">
        <v>0</v>
      </c>
      <c r="D367" s="90">
        <v>0</v>
      </c>
      <c r="E367" s="90">
        <v>0</v>
      </c>
      <c r="F367" s="90">
        <v>0</v>
      </c>
      <c r="G367" s="90">
        <v>0</v>
      </c>
      <c r="H367" s="90">
        <v>0</v>
      </c>
      <c r="I367" s="90">
        <v>0</v>
      </c>
      <c r="J367" s="90">
        <v>0</v>
      </c>
      <c r="K367" s="90">
        <v>0</v>
      </c>
      <c r="L367" s="90">
        <v>0</v>
      </c>
      <c r="M367" s="90">
        <v>0</v>
      </c>
    </row>
    <row r="368">
      <c r="A368" s="3" t="s">
        <v>549</v>
      </c>
      <c r="B368" s="3"/>
      <c r="C368" s="90">
        <v>0</v>
      </c>
      <c r="D368" s="90">
        <v>0</v>
      </c>
      <c r="E368" s="90">
        <v>0</v>
      </c>
      <c r="F368" s="90">
        <v>0</v>
      </c>
      <c r="G368" s="90">
        <v>0</v>
      </c>
      <c r="H368" s="90">
        <v>0</v>
      </c>
      <c r="I368" s="90">
        <v>0</v>
      </c>
      <c r="J368" s="90">
        <v>0</v>
      </c>
      <c r="K368" s="90">
        <v>0</v>
      </c>
      <c r="L368" s="90">
        <v>0</v>
      </c>
      <c r="M368" s="90">
        <v>0</v>
      </c>
    </row>
    <row r="369">
      <c r="A369" s="3" t="s">
        <v>550</v>
      </c>
      <c r="B369" s="3"/>
      <c r="C369" s="90">
        <v>0</v>
      </c>
      <c r="D369" s="90">
        <v>0</v>
      </c>
      <c r="E369" s="90">
        <v>0</v>
      </c>
      <c r="F369" s="90">
        <v>0</v>
      </c>
      <c r="G369" s="90">
        <v>0</v>
      </c>
      <c r="H369" s="90">
        <v>0</v>
      </c>
      <c r="I369" s="90">
        <v>0</v>
      </c>
      <c r="J369" s="90">
        <v>0</v>
      </c>
      <c r="K369" s="90">
        <v>0</v>
      </c>
      <c r="L369" s="90">
        <v>0</v>
      </c>
      <c r="M369" s="90">
        <v>0</v>
      </c>
    </row>
    <row r="370">
      <c r="A370" s="3" t="s">
        <v>551</v>
      </c>
      <c r="B370" s="3"/>
      <c r="C370" s="90">
        <v>0</v>
      </c>
      <c r="D370" s="90">
        <v>0</v>
      </c>
      <c r="E370" s="90"/>
      <c r="F370" s="90">
        <v>0</v>
      </c>
      <c r="G370" s="90"/>
      <c r="H370" s="90">
        <v>0</v>
      </c>
      <c r="I370" s="90"/>
      <c r="J370" s="90"/>
      <c r="K370" s="90"/>
      <c r="L370" s="90"/>
      <c r="M370" s="90">
        <v>0</v>
      </c>
    </row>
    <row r="372">
      <c r="A372" s="25" t="s">
        <v>139</v>
      </c>
      <c r="B372" s="25"/>
      <c r="C372" s="25"/>
      <c r="D372" s="25"/>
      <c r="E372" s="25"/>
      <c r="F372" s="25"/>
      <c r="G372" s="25"/>
      <c r="H372" s="25"/>
      <c r="I372" s="25"/>
      <c r="J372" s="25"/>
      <c r="K372" s="25"/>
      <c r="L372" s="24"/>
      <c r="M372" s="24"/>
    </row>
    <row r="375">
      <c r="A375" s="22" t="s">
        <v>363</v>
      </c>
      <c r="C375" s="22" t="s">
        <v>502</v>
      </c>
      <c r="D375" s="22"/>
      <c r="E375" s="22"/>
      <c r="F375" s="22"/>
      <c r="G375" s="22"/>
      <c r="H375" s="22"/>
      <c r="I375" s="22"/>
      <c r="J375" s="22"/>
      <c r="K375" s="22"/>
      <c r="L375" s="22"/>
      <c r="M375" s="22"/>
    </row>
    <row r="376">
      <c r="A376" s="22"/>
      <c r="C376" s="22">
        <v>2026</v>
      </c>
      <c r="D376" s="22">
        <v>2027</v>
      </c>
      <c r="E376" s="22">
        <v>2028</v>
      </c>
      <c r="F376" s="22">
        <v>2029</v>
      </c>
      <c r="G376" s="22">
        <v>2030</v>
      </c>
      <c r="H376" s="22">
        <v>2031</v>
      </c>
      <c r="I376" s="22">
        <v>2032</v>
      </c>
      <c r="J376" s="22">
        <v>2033</v>
      </c>
      <c r="K376" s="22">
        <v>2034</v>
      </c>
      <c r="L376" s="22">
        <v>2035</v>
      </c>
      <c r="M376" s="22">
        <v>2036</v>
      </c>
    </row>
    <row r="377">
      <c r="A377" s="3" t="s">
        <v>504</v>
      </c>
      <c r="B377" s="3"/>
      <c r="C377" s="82">
        <v>0</v>
      </c>
      <c r="D377" s="82">
        <v>0</v>
      </c>
      <c r="E377" s="82">
        <v>0</v>
      </c>
      <c r="F377" s="82">
        <v>0</v>
      </c>
      <c r="G377" s="82">
        <v>0</v>
      </c>
      <c r="H377" s="82">
        <v>0</v>
      </c>
      <c r="I377" s="82">
        <v>0</v>
      </c>
      <c r="J377" s="82">
        <v>0</v>
      </c>
      <c r="K377" s="82">
        <v>0</v>
      </c>
      <c r="L377" s="82">
        <v>0</v>
      </c>
      <c r="M377" s="82">
        <v>0</v>
      </c>
    </row>
    <row r="378">
      <c r="A378" s="3" t="s">
        <v>506</v>
      </c>
      <c r="B378" s="3"/>
      <c r="C378" s="83">
        <v>0</v>
      </c>
      <c r="D378" s="83">
        <v>0</v>
      </c>
      <c r="E378" s="83">
        <v>0</v>
      </c>
      <c r="F378" s="83">
        <v>0</v>
      </c>
      <c r="G378" s="83">
        <v>0</v>
      </c>
      <c r="H378" s="83">
        <v>0</v>
      </c>
      <c r="I378" s="83">
        <v>0</v>
      </c>
      <c r="J378" s="83">
        <v>0</v>
      </c>
      <c r="K378" s="83">
        <v>0</v>
      </c>
      <c r="L378" s="83">
        <v>0</v>
      </c>
      <c r="M378" s="83">
        <v>0</v>
      </c>
    </row>
    <row r="379">
      <c r="A379" s="3" t="s">
        <v>507</v>
      </c>
      <c r="B379" s="3"/>
      <c r="C379" s="83">
        <v>0</v>
      </c>
      <c r="D379" s="83">
        <v>0</v>
      </c>
      <c r="E379" s="83">
        <v>0</v>
      </c>
      <c r="F379" s="83">
        <v>0</v>
      </c>
      <c r="G379" s="83">
        <v>0</v>
      </c>
      <c r="H379" s="83">
        <v>0</v>
      </c>
      <c r="I379" s="83">
        <v>0</v>
      </c>
      <c r="J379" s="83">
        <v>0</v>
      </c>
      <c r="K379" s="83">
        <v>0</v>
      </c>
      <c r="L379" s="83">
        <v>0</v>
      </c>
      <c r="M379" s="83">
        <v>0</v>
      </c>
    </row>
    <row r="380">
      <c r="A380" s="3" t="s">
        <v>508</v>
      </c>
      <c r="B380" s="3"/>
      <c r="C380" s="83">
        <v>0</v>
      </c>
      <c r="D380" s="83">
        <v>0</v>
      </c>
      <c r="E380" s="83">
        <v>0</v>
      </c>
      <c r="F380" s="83">
        <v>0</v>
      </c>
      <c r="G380" s="83">
        <v>0</v>
      </c>
      <c r="H380" s="83">
        <v>0</v>
      </c>
      <c r="I380" s="83">
        <v>0</v>
      </c>
      <c r="J380" s="83">
        <v>0</v>
      </c>
      <c r="K380" s="83">
        <v>0</v>
      </c>
      <c r="L380" s="83">
        <v>0</v>
      </c>
      <c r="M380" s="83">
        <v>0</v>
      </c>
    </row>
    <row r="381">
      <c r="A381" s="3" t="s">
        <v>509</v>
      </c>
      <c r="B381" s="3"/>
      <c r="C381" s="83">
        <v>0</v>
      </c>
      <c r="D381" s="83">
        <v>0</v>
      </c>
      <c r="E381" s="83">
        <v>0</v>
      </c>
      <c r="F381" s="83">
        <v>0</v>
      </c>
      <c r="G381" s="83">
        <v>0</v>
      </c>
      <c r="H381" s="83">
        <v>0</v>
      </c>
      <c r="I381" s="83">
        <v>0</v>
      </c>
      <c r="J381" s="83">
        <v>0</v>
      </c>
      <c r="K381" s="83">
        <v>0</v>
      </c>
      <c r="L381" s="83">
        <v>0</v>
      </c>
      <c r="M381" s="83">
        <v>0</v>
      </c>
    </row>
    <row r="382">
      <c r="A382" s="3" t="s">
        <v>510</v>
      </c>
      <c r="B382" s="3"/>
      <c r="C382" s="83">
        <v>0</v>
      </c>
      <c r="D382" s="83">
        <v>0</v>
      </c>
      <c r="E382" s="83">
        <v>0</v>
      </c>
      <c r="F382" s="83">
        <v>0</v>
      </c>
      <c r="G382" s="83">
        <v>0</v>
      </c>
      <c r="H382" s="83">
        <v>0</v>
      </c>
      <c r="I382" s="83">
        <v>0</v>
      </c>
      <c r="J382" s="83">
        <v>0</v>
      </c>
      <c r="K382" s="83">
        <v>0</v>
      </c>
      <c r="L382" s="83">
        <v>0</v>
      </c>
      <c r="M382" s="83">
        <v>0</v>
      </c>
    </row>
    <row r="386">
      <c r="A386" s="22" t="s">
        <v>529</v>
      </c>
      <c r="C386" s="22" t="s">
        <v>363</v>
      </c>
      <c r="D386" s="22"/>
      <c r="E386" s="22"/>
      <c r="F386" s="22"/>
      <c r="G386" s="22"/>
      <c r="H386" s="22"/>
      <c r="I386" s="22"/>
      <c r="J386" s="22"/>
      <c r="K386" s="22"/>
      <c r="L386" s="22"/>
      <c r="M386" s="22"/>
    </row>
    <row r="387">
      <c r="A387" s="22"/>
      <c r="B387" s="3"/>
      <c r="C387" s="22">
        <v>2026</v>
      </c>
      <c r="D387" s="22">
        <v>2027</v>
      </c>
      <c r="E387" s="22">
        <v>2028</v>
      </c>
      <c r="F387" s="22">
        <v>2029</v>
      </c>
      <c r="G387" s="22">
        <v>2030</v>
      </c>
      <c r="H387" s="22">
        <v>2031</v>
      </c>
      <c r="I387" s="22">
        <v>2032</v>
      </c>
      <c r="J387" s="22">
        <v>2033</v>
      </c>
      <c r="K387" s="22">
        <v>2034</v>
      </c>
      <c r="L387" s="22">
        <v>2035</v>
      </c>
      <c r="M387" s="22">
        <v>2036</v>
      </c>
      <c r="N387" s="22" t="s">
        <v>530</v>
      </c>
    </row>
    <row r="388">
      <c r="A388" s="3" t="s">
        <v>117</v>
      </c>
      <c r="B388" s="3"/>
      <c r="C388" s="74">
        <v>0</v>
      </c>
      <c r="D388" s="74">
        <v>0</v>
      </c>
      <c r="E388" s="74">
        <v>0</v>
      </c>
      <c r="F388" s="74">
        <v>0</v>
      </c>
      <c r="G388" s="74">
        <v>0</v>
      </c>
      <c r="H388" s="74">
        <v>0</v>
      </c>
      <c r="I388" s="74">
        <v>0</v>
      </c>
      <c r="J388" s="74">
        <v>0</v>
      </c>
      <c r="K388" s="74">
        <v>0</v>
      </c>
      <c r="L388" s="74">
        <v>0</v>
      </c>
      <c r="M388" s="74">
        <v>0</v>
      </c>
      <c r="N388" s="78">
        <f>Sum(C388:M388)</f>
        <v>0</v>
      </c>
      <c r="O388" s="76" t="e">
        <f>(N388/N395)</f>
        <v>#DIV/0!</v>
      </c>
      <c r="P388" s="0" t="s">
        <v>531</v>
      </c>
    </row>
    <row r="389">
      <c r="A389" s="3" t="s">
        <v>121</v>
      </c>
      <c r="B389" s="3"/>
      <c r="C389" s="74">
        <v>0</v>
      </c>
      <c r="D389" s="74">
        <v>0</v>
      </c>
      <c r="E389" s="74">
        <v>0</v>
      </c>
      <c r="F389" s="74">
        <v>0</v>
      </c>
      <c r="G389" s="74">
        <v>0</v>
      </c>
      <c r="H389" s="74">
        <v>0</v>
      </c>
      <c r="I389" s="74">
        <v>0</v>
      </c>
      <c r="J389" s="74">
        <v>0</v>
      </c>
      <c r="K389" s="74">
        <v>0</v>
      </c>
      <c r="L389" s="74">
        <v>0</v>
      </c>
      <c r="M389" s="74">
        <v>0</v>
      </c>
      <c r="N389" s="78">
        <f>Sum(C389:M389)</f>
        <v>0</v>
      </c>
      <c r="O389" s="76" t="e">
        <f>(N389/N395)</f>
        <v>#DIV/0!</v>
      </c>
      <c r="P389" s="0" t="s">
        <v>532</v>
      </c>
    </row>
    <row r="390">
      <c r="A390" s="3" t="s">
        <v>122</v>
      </c>
      <c r="B390" s="3"/>
      <c r="C390" s="74">
        <v>0</v>
      </c>
      <c r="D390" s="74">
        <v>0</v>
      </c>
      <c r="E390" s="74">
        <v>0</v>
      </c>
      <c r="F390" s="74">
        <v>0</v>
      </c>
      <c r="G390" s="74">
        <v>0</v>
      </c>
      <c r="H390" s="74">
        <v>0</v>
      </c>
      <c r="I390" s="74">
        <v>0</v>
      </c>
      <c r="J390" s="74">
        <v>0</v>
      </c>
      <c r="K390" s="74">
        <v>0</v>
      </c>
      <c r="L390" s="74">
        <v>0</v>
      </c>
      <c r="M390" s="74">
        <v>0</v>
      </c>
      <c r="N390" s="78">
        <f>Sum(C390:M390)</f>
        <v>0</v>
      </c>
      <c r="O390" s="76" t="e">
        <f>(N390/N395)</f>
        <v>#DIV/0!</v>
      </c>
      <c r="P390" s="0" t="s">
        <v>533</v>
      </c>
    </row>
    <row r="391">
      <c r="A391" s="3" t="s">
        <v>124</v>
      </c>
      <c r="B391" s="3"/>
      <c r="C391" s="74">
        <v>0</v>
      </c>
      <c r="D391" s="74">
        <v>0</v>
      </c>
      <c r="E391" s="74">
        <v>0</v>
      </c>
      <c r="F391" s="74">
        <v>0</v>
      </c>
      <c r="G391" s="74">
        <v>0</v>
      </c>
      <c r="H391" s="74">
        <v>0</v>
      </c>
      <c r="I391" s="74">
        <v>0</v>
      </c>
      <c r="J391" s="74">
        <v>0</v>
      </c>
      <c r="K391" s="74">
        <v>0</v>
      </c>
      <c r="L391" s="74">
        <v>0</v>
      </c>
      <c r="M391" s="74">
        <v>0</v>
      </c>
      <c r="N391" s="78">
        <f>Sum(C391:M391)</f>
        <v>0</v>
      </c>
      <c r="O391" s="76" t="e">
        <f>(N391/N395)</f>
        <v>#DIV/0!</v>
      </c>
      <c r="P391" s="0" t="s">
        <v>534</v>
      </c>
    </row>
    <row r="392">
      <c r="A392" s="3" t="s">
        <v>535</v>
      </c>
      <c r="B392" s="3"/>
      <c r="C392" s="74">
        <v>0</v>
      </c>
      <c r="D392" s="74">
        <v>0</v>
      </c>
      <c r="E392" s="74">
        <v>0</v>
      </c>
      <c r="F392" s="74">
        <v>0</v>
      </c>
      <c r="G392" s="74">
        <v>0</v>
      </c>
      <c r="H392" s="74">
        <v>0</v>
      </c>
      <c r="I392" s="74">
        <v>0</v>
      </c>
      <c r="J392" s="74">
        <v>0</v>
      </c>
      <c r="K392" s="74">
        <v>0</v>
      </c>
      <c r="L392" s="74">
        <v>0</v>
      </c>
      <c r="M392" s="74">
        <v>0</v>
      </c>
      <c r="N392" s="78">
        <f>Sum(C392:M392)</f>
        <v>0</v>
      </c>
      <c r="O392" s="76" t="e">
        <f>(N392/N395)</f>
        <v>#DIV/0!</v>
      </c>
      <c r="P392" s="0" t="s">
        <v>536</v>
      </c>
    </row>
    <row r="393">
      <c r="A393" s="3" t="s">
        <v>537</v>
      </c>
      <c r="B393" s="3"/>
      <c r="C393" s="74">
        <v>0</v>
      </c>
      <c r="D393" s="74">
        <v>0</v>
      </c>
      <c r="E393" s="74">
        <v>0</v>
      </c>
      <c r="F393" s="74">
        <v>0</v>
      </c>
      <c r="G393" s="74">
        <v>0</v>
      </c>
      <c r="H393" s="74">
        <v>0</v>
      </c>
      <c r="I393" s="74">
        <v>0</v>
      </c>
      <c r="J393" s="74">
        <v>0</v>
      </c>
      <c r="K393" s="74">
        <v>0</v>
      </c>
      <c r="L393" s="74">
        <v>0</v>
      </c>
      <c r="M393" s="74">
        <v>0</v>
      </c>
      <c r="N393" s="78">
        <f>Sum(C393:M393)</f>
        <v>0</v>
      </c>
      <c r="O393" s="76" t="e">
        <f>(N393/N395)</f>
        <v>#DIV/0!</v>
      </c>
      <c r="P393" s="0" t="s">
        <v>538</v>
      </c>
    </row>
    <row r="394">
      <c r="A394" s="3" t="s">
        <v>539</v>
      </c>
      <c r="B394" s="3"/>
      <c r="C394" s="74">
        <v>0</v>
      </c>
      <c r="D394" s="74">
        <v>0</v>
      </c>
      <c r="E394" s="74">
        <v>0</v>
      </c>
      <c r="F394" s="74">
        <v>0</v>
      </c>
      <c r="G394" s="74">
        <v>0</v>
      </c>
      <c r="H394" s="74">
        <v>0</v>
      </c>
      <c r="I394" s="74">
        <v>0</v>
      </c>
      <c r="J394" s="74">
        <v>0</v>
      </c>
      <c r="K394" s="74">
        <v>0</v>
      </c>
      <c r="L394" s="74">
        <v>0</v>
      </c>
      <c r="M394" s="74">
        <v>0</v>
      </c>
      <c r="N394" s="78">
        <f>Sum(C394:M394)</f>
        <v>0</v>
      </c>
      <c r="O394" s="76" t="e">
        <f>(N394/N395)</f>
        <v>#DIV/0!</v>
      </c>
      <c r="P394" s="0" t="s">
        <v>540</v>
      </c>
    </row>
    <row r="395">
      <c r="A395" s="3" t="s">
        <v>541</v>
      </c>
      <c r="B395" s="3"/>
      <c r="C395" s="74"/>
      <c r="D395" s="74"/>
      <c r="E395" s="74"/>
      <c r="F395" s="74"/>
      <c r="G395" s="74"/>
      <c r="H395" s="74"/>
      <c r="I395" s="74"/>
      <c r="J395" s="74"/>
      <c r="K395" s="74"/>
      <c r="L395" s="74"/>
      <c r="M395" s="74"/>
      <c r="N395" s="78">
        <f>Sum(C395:M395)</f>
        <v>0</v>
      </c>
    </row>
    <row r="396">
      <c r="A396" s="3"/>
      <c r="B396" s="3"/>
      <c r="C396" s="74"/>
      <c r="D396" s="74"/>
      <c r="E396" s="74"/>
      <c r="F396" s="74"/>
      <c r="G396" s="74"/>
      <c r="H396" s="74"/>
      <c r="I396" s="74"/>
      <c r="J396" s="74"/>
      <c r="K396" s="74"/>
      <c r="L396" s="74"/>
      <c r="M396" s="74"/>
      <c r="N396" s="78"/>
    </row>
    <row r="397">
      <c r="A397" s="3" t="s">
        <v>542</v>
      </c>
      <c r="B397" s="3"/>
      <c r="C397" s="74">
        <v>0</v>
      </c>
      <c r="D397" s="74">
        <v>0</v>
      </c>
      <c r="E397" s="74">
        <v>0</v>
      </c>
      <c r="F397" s="74">
        <v>0</v>
      </c>
      <c r="G397" s="74">
        <v>0</v>
      </c>
      <c r="H397" s="74">
        <v>0</v>
      </c>
      <c r="I397" s="74">
        <v>0</v>
      </c>
      <c r="J397" s="74">
        <v>0</v>
      </c>
      <c r="K397" s="74">
        <v>0</v>
      </c>
      <c r="L397" s="74">
        <v>0</v>
      </c>
      <c r="M397" s="74">
        <v>0</v>
      </c>
      <c r="N397" s="78">
        <f>Sum(C397:M397)</f>
        <v>0</v>
      </c>
    </row>
    <row r="399">
      <c r="A399" s="22" t="s">
        <v>543</v>
      </c>
      <c r="C399" s="22" t="s">
        <v>363</v>
      </c>
      <c r="D399" s="22"/>
      <c r="E399" s="22"/>
      <c r="F399" s="22"/>
      <c r="G399" s="22"/>
      <c r="H399" s="22"/>
      <c r="I399" s="22"/>
      <c r="J399" s="22"/>
      <c r="K399" s="22"/>
      <c r="L399" s="22"/>
      <c r="M399" s="22"/>
    </row>
    <row r="400">
      <c r="A400" s="22"/>
      <c r="C400" s="22">
        <v>2026</v>
      </c>
      <c r="D400" s="22">
        <v>2027</v>
      </c>
      <c r="E400" s="22">
        <v>2028</v>
      </c>
      <c r="F400" s="22">
        <v>2029</v>
      </c>
      <c r="G400" s="22">
        <v>2030</v>
      </c>
      <c r="H400" s="22">
        <v>2031</v>
      </c>
      <c r="I400" s="22">
        <v>2032</v>
      </c>
      <c r="J400" s="22">
        <v>2033</v>
      </c>
      <c r="K400" s="22">
        <v>2034</v>
      </c>
      <c r="L400" s="22">
        <v>2035</v>
      </c>
      <c r="M400" s="22">
        <v>2036</v>
      </c>
    </row>
    <row r="401">
      <c r="A401" s="3"/>
      <c r="B401" s="3"/>
      <c r="C401" s="74"/>
      <c r="D401" s="74"/>
      <c r="E401" s="74"/>
      <c r="F401" s="74"/>
      <c r="G401" s="74"/>
      <c r="H401" s="74"/>
      <c r="I401" s="74"/>
      <c r="J401" s="74"/>
      <c r="K401" s="74"/>
      <c r="L401" s="74"/>
      <c r="M401" s="74"/>
      <c r="N401" s="78">
        <f>Sum(C401:M401)</f>
        <v>0</v>
      </c>
    </row>
    <row r="404">
      <c r="A404" s="22" t="s">
        <v>473</v>
      </c>
      <c r="C404" s="22" t="s">
        <v>544</v>
      </c>
      <c r="D404" s="22"/>
      <c r="E404" s="22"/>
      <c r="F404" s="22"/>
      <c r="G404" s="22"/>
      <c r="H404" s="22"/>
      <c r="I404" s="22"/>
      <c r="J404" s="22"/>
      <c r="K404" s="22"/>
      <c r="L404" s="22"/>
      <c r="M404" s="22"/>
    </row>
    <row r="405">
      <c r="A405" s="22"/>
      <c r="C405" s="22">
        <v>2026</v>
      </c>
      <c r="D405" s="22">
        <v>2027</v>
      </c>
      <c r="E405" s="22">
        <v>2028</v>
      </c>
      <c r="F405" s="22">
        <v>2029</v>
      </c>
      <c r="G405" s="22">
        <v>2030</v>
      </c>
      <c r="H405" s="22">
        <v>2031</v>
      </c>
      <c r="I405" s="22">
        <v>2032</v>
      </c>
      <c r="J405" s="22">
        <v>2033</v>
      </c>
      <c r="K405" s="22">
        <v>2034</v>
      </c>
      <c r="L405" s="22">
        <v>2035</v>
      </c>
      <c r="M405" s="22">
        <v>2036</v>
      </c>
    </row>
    <row r="406">
      <c r="A406" s="3" t="s">
        <v>545</v>
      </c>
      <c r="B406" s="3"/>
      <c r="C406" s="90">
        <v>0</v>
      </c>
      <c r="D406" s="90">
        <v>0</v>
      </c>
      <c r="E406" s="90">
        <v>0</v>
      </c>
      <c r="F406" s="90">
        <v>0</v>
      </c>
      <c r="G406" s="90">
        <v>0</v>
      </c>
      <c r="H406" s="90">
        <v>0</v>
      </c>
      <c r="I406" s="90">
        <v>0</v>
      </c>
      <c r="J406" s="90">
        <v>0</v>
      </c>
      <c r="K406" s="90">
        <v>0</v>
      </c>
      <c r="L406" s="90">
        <v>0</v>
      </c>
      <c r="M406" s="90">
        <v>0</v>
      </c>
    </row>
    <row r="407">
      <c r="A407" s="3" t="s">
        <v>546</v>
      </c>
      <c r="B407" s="3"/>
      <c r="C407" s="90">
        <v>0</v>
      </c>
      <c r="D407" s="90">
        <v>0</v>
      </c>
      <c r="E407" s="90">
        <v>0</v>
      </c>
      <c r="F407" s="90">
        <v>0</v>
      </c>
      <c r="G407" s="90">
        <v>0</v>
      </c>
      <c r="H407" s="90">
        <v>0</v>
      </c>
      <c r="I407" s="90">
        <v>0</v>
      </c>
      <c r="J407" s="90">
        <v>0</v>
      </c>
      <c r="K407" s="90">
        <v>0</v>
      </c>
      <c r="L407" s="90">
        <v>0</v>
      </c>
      <c r="M407" s="90">
        <v>0</v>
      </c>
    </row>
    <row r="408">
      <c r="A408" s="3" t="s">
        <v>547</v>
      </c>
      <c r="B408" s="3"/>
      <c r="C408" s="90">
        <v>0</v>
      </c>
      <c r="D408" s="90">
        <v>0</v>
      </c>
      <c r="E408" s="90">
        <v>0</v>
      </c>
      <c r="F408" s="90">
        <v>0</v>
      </c>
      <c r="G408" s="90">
        <v>0</v>
      </c>
      <c r="H408" s="90">
        <v>0</v>
      </c>
      <c r="I408" s="90">
        <v>0</v>
      </c>
      <c r="J408" s="90">
        <v>0</v>
      </c>
      <c r="K408" s="90">
        <v>0</v>
      </c>
      <c r="L408" s="90">
        <v>0</v>
      </c>
      <c r="M408" s="90">
        <v>0</v>
      </c>
    </row>
    <row r="409">
      <c r="A409" s="3" t="s">
        <v>548</v>
      </c>
      <c r="B409" s="3"/>
      <c r="C409" s="90">
        <v>0</v>
      </c>
      <c r="D409" s="90">
        <v>0</v>
      </c>
      <c r="E409" s="90">
        <v>0</v>
      </c>
      <c r="F409" s="90">
        <v>0</v>
      </c>
      <c r="G409" s="90">
        <v>0</v>
      </c>
      <c r="H409" s="90">
        <v>0</v>
      </c>
      <c r="I409" s="90">
        <v>0</v>
      </c>
      <c r="J409" s="90">
        <v>0</v>
      </c>
      <c r="K409" s="90">
        <v>0</v>
      </c>
      <c r="L409" s="90">
        <v>0</v>
      </c>
      <c r="M409" s="90">
        <v>0</v>
      </c>
    </row>
    <row r="410">
      <c r="A410" s="3" t="s">
        <v>549</v>
      </c>
      <c r="B410" s="3"/>
      <c r="C410" s="90">
        <v>0</v>
      </c>
      <c r="D410" s="90">
        <v>0</v>
      </c>
      <c r="E410" s="90">
        <v>0</v>
      </c>
      <c r="F410" s="90">
        <v>0</v>
      </c>
      <c r="G410" s="90">
        <v>0</v>
      </c>
      <c r="H410" s="90">
        <v>0</v>
      </c>
      <c r="I410" s="90">
        <v>0</v>
      </c>
      <c r="J410" s="90">
        <v>0</v>
      </c>
      <c r="K410" s="90">
        <v>0</v>
      </c>
      <c r="L410" s="90">
        <v>0</v>
      </c>
      <c r="M410" s="90">
        <v>0</v>
      </c>
    </row>
    <row r="411">
      <c r="A411" s="3" t="s">
        <v>550</v>
      </c>
      <c r="B411" s="3"/>
      <c r="C411" s="90">
        <v>0</v>
      </c>
      <c r="D411" s="90">
        <v>0</v>
      </c>
      <c r="E411" s="90">
        <v>0</v>
      </c>
      <c r="F411" s="90">
        <v>0</v>
      </c>
      <c r="G411" s="90">
        <v>0</v>
      </c>
      <c r="H411" s="90">
        <v>0</v>
      </c>
      <c r="I411" s="90">
        <v>0</v>
      </c>
      <c r="J411" s="90">
        <v>0</v>
      </c>
      <c r="K411" s="90">
        <v>0</v>
      </c>
      <c r="L411" s="90">
        <v>0</v>
      </c>
      <c r="M411" s="90">
        <v>0</v>
      </c>
    </row>
    <row r="412">
      <c r="A412" s="3" t="s">
        <v>551</v>
      </c>
      <c r="B412" s="3"/>
      <c r="C412" s="90">
        <v>0</v>
      </c>
      <c r="D412" s="90">
        <v>0</v>
      </c>
      <c r="E412" s="90"/>
      <c r="F412" s="90">
        <v>0</v>
      </c>
      <c r="G412" s="90"/>
      <c r="H412" s="90">
        <v>0</v>
      </c>
      <c r="I412" s="90"/>
      <c r="J412" s="90"/>
      <c r="K412" s="90"/>
      <c r="L412" s="90"/>
      <c r="M412" s="90">
        <v>0</v>
      </c>
    </row>
    <row r="414">
      <c r="A414" s="25" t="s">
        <v>140</v>
      </c>
      <c r="B414" s="25"/>
      <c r="C414" s="25"/>
      <c r="D414" s="25"/>
      <c r="E414" s="25"/>
      <c r="F414" s="25"/>
      <c r="G414" s="25"/>
      <c r="H414" s="25"/>
      <c r="I414" s="25"/>
      <c r="J414" s="25"/>
      <c r="K414" s="25"/>
      <c r="L414" s="24"/>
      <c r="M414" s="24"/>
    </row>
    <row r="417">
      <c r="A417" s="22" t="s">
        <v>363</v>
      </c>
      <c r="C417" s="22" t="s">
        <v>502</v>
      </c>
      <c r="D417" s="22"/>
      <c r="E417" s="22"/>
      <c r="F417" s="22"/>
      <c r="G417" s="22"/>
      <c r="H417" s="22"/>
      <c r="I417" s="22"/>
      <c r="J417" s="22"/>
      <c r="K417" s="22"/>
      <c r="L417" s="22"/>
      <c r="M417" s="22"/>
    </row>
    <row r="418">
      <c r="A418" s="22"/>
      <c r="C418" s="22">
        <v>2026</v>
      </c>
      <c r="D418" s="22">
        <v>2027</v>
      </c>
      <c r="E418" s="22">
        <v>2028</v>
      </c>
      <c r="F418" s="22">
        <v>2029</v>
      </c>
      <c r="G418" s="22">
        <v>2030</v>
      </c>
      <c r="H418" s="22">
        <v>2031</v>
      </c>
      <c r="I418" s="22">
        <v>2032</v>
      </c>
      <c r="J418" s="22">
        <v>2033</v>
      </c>
      <c r="K418" s="22">
        <v>2034</v>
      </c>
      <c r="L418" s="22">
        <v>2035</v>
      </c>
      <c r="M418" s="22">
        <v>2036</v>
      </c>
    </row>
    <row r="419">
      <c r="A419" s="3" t="s">
        <v>504</v>
      </c>
      <c r="B419" s="3"/>
      <c r="C419" s="82">
        <v>0</v>
      </c>
      <c r="D419" s="82">
        <v>0</v>
      </c>
      <c r="E419" s="82">
        <v>0</v>
      </c>
      <c r="F419" s="82">
        <v>0</v>
      </c>
      <c r="G419" s="82">
        <v>0</v>
      </c>
      <c r="H419" s="82">
        <v>0</v>
      </c>
      <c r="I419" s="82">
        <v>0</v>
      </c>
      <c r="J419" s="82">
        <v>0</v>
      </c>
      <c r="K419" s="82">
        <v>0</v>
      </c>
      <c r="L419" s="82">
        <v>0</v>
      </c>
      <c r="M419" s="82">
        <v>0</v>
      </c>
    </row>
    <row r="420">
      <c r="A420" s="3" t="s">
        <v>506</v>
      </c>
      <c r="B420" s="3"/>
      <c r="C420" s="83">
        <v>0</v>
      </c>
      <c r="D420" s="83">
        <v>0</v>
      </c>
      <c r="E420" s="83">
        <v>0</v>
      </c>
      <c r="F420" s="83">
        <v>0</v>
      </c>
      <c r="G420" s="83">
        <v>0</v>
      </c>
      <c r="H420" s="83">
        <v>0</v>
      </c>
      <c r="I420" s="83">
        <v>0</v>
      </c>
      <c r="J420" s="83">
        <v>0</v>
      </c>
      <c r="K420" s="83">
        <v>0</v>
      </c>
      <c r="L420" s="83">
        <v>0</v>
      </c>
      <c r="M420" s="83">
        <v>0</v>
      </c>
    </row>
    <row r="421">
      <c r="A421" s="3" t="s">
        <v>507</v>
      </c>
      <c r="B421" s="3"/>
      <c r="C421" s="83">
        <v>0</v>
      </c>
      <c r="D421" s="83">
        <v>0</v>
      </c>
      <c r="E421" s="83">
        <v>0</v>
      </c>
      <c r="F421" s="83">
        <v>0</v>
      </c>
      <c r="G421" s="83">
        <v>0</v>
      </c>
      <c r="H421" s="83">
        <v>0</v>
      </c>
      <c r="I421" s="83">
        <v>0</v>
      </c>
      <c r="J421" s="83">
        <v>0</v>
      </c>
      <c r="K421" s="83">
        <v>0</v>
      </c>
      <c r="L421" s="83">
        <v>0</v>
      </c>
      <c r="M421" s="83">
        <v>0</v>
      </c>
    </row>
    <row r="422">
      <c r="A422" s="3" t="s">
        <v>508</v>
      </c>
      <c r="B422" s="3"/>
      <c r="C422" s="83">
        <v>0</v>
      </c>
      <c r="D422" s="83">
        <v>0</v>
      </c>
      <c r="E422" s="83">
        <v>0</v>
      </c>
      <c r="F422" s="83">
        <v>0</v>
      </c>
      <c r="G422" s="83">
        <v>0</v>
      </c>
      <c r="H422" s="83">
        <v>0</v>
      </c>
      <c r="I422" s="83">
        <v>0</v>
      </c>
      <c r="J422" s="83">
        <v>0</v>
      </c>
      <c r="K422" s="83">
        <v>0</v>
      </c>
      <c r="L422" s="83">
        <v>0</v>
      </c>
      <c r="M422" s="83">
        <v>0</v>
      </c>
    </row>
    <row r="423">
      <c r="A423" s="3" t="s">
        <v>509</v>
      </c>
      <c r="B423" s="3"/>
      <c r="C423" s="83">
        <v>0</v>
      </c>
      <c r="D423" s="83">
        <v>0</v>
      </c>
      <c r="E423" s="83">
        <v>0</v>
      </c>
      <c r="F423" s="83">
        <v>0</v>
      </c>
      <c r="G423" s="83">
        <v>0</v>
      </c>
      <c r="H423" s="83">
        <v>0</v>
      </c>
      <c r="I423" s="83">
        <v>0</v>
      </c>
      <c r="J423" s="83">
        <v>0</v>
      </c>
      <c r="K423" s="83">
        <v>0</v>
      </c>
      <c r="L423" s="83">
        <v>0</v>
      </c>
      <c r="M423" s="83">
        <v>0</v>
      </c>
    </row>
    <row r="424">
      <c r="A424" s="3" t="s">
        <v>510</v>
      </c>
      <c r="B424" s="3"/>
      <c r="C424" s="83">
        <v>0</v>
      </c>
      <c r="D424" s="83">
        <v>0</v>
      </c>
      <c r="E424" s="83">
        <v>0</v>
      </c>
      <c r="F424" s="83">
        <v>0</v>
      </c>
      <c r="G424" s="83">
        <v>0</v>
      </c>
      <c r="H424" s="83">
        <v>0</v>
      </c>
      <c r="I424" s="83">
        <v>0</v>
      </c>
      <c r="J424" s="83">
        <v>0</v>
      </c>
      <c r="K424" s="83">
        <v>0</v>
      </c>
      <c r="L424" s="83">
        <v>0</v>
      </c>
      <c r="M424" s="83">
        <v>0</v>
      </c>
    </row>
    <row r="428">
      <c r="A428" s="22" t="s">
        <v>529</v>
      </c>
      <c r="C428" s="22" t="s">
        <v>363</v>
      </c>
      <c r="D428" s="22"/>
      <c r="E428" s="22"/>
      <c r="F428" s="22"/>
      <c r="G428" s="22"/>
      <c r="H428" s="22"/>
      <c r="I428" s="22"/>
      <c r="J428" s="22"/>
      <c r="K428" s="22"/>
      <c r="L428" s="22"/>
      <c r="M428" s="22"/>
    </row>
    <row r="429">
      <c r="A429" s="22"/>
      <c r="B429" s="3"/>
      <c r="C429" s="22">
        <v>2026</v>
      </c>
      <c r="D429" s="22">
        <v>2027</v>
      </c>
      <c r="E429" s="22">
        <v>2028</v>
      </c>
      <c r="F429" s="22">
        <v>2029</v>
      </c>
      <c r="G429" s="22">
        <v>2030</v>
      </c>
      <c r="H429" s="22">
        <v>2031</v>
      </c>
      <c r="I429" s="22">
        <v>2032</v>
      </c>
      <c r="J429" s="22">
        <v>2033</v>
      </c>
      <c r="K429" s="22">
        <v>2034</v>
      </c>
      <c r="L429" s="22">
        <v>2035</v>
      </c>
      <c r="M429" s="22">
        <v>2036</v>
      </c>
      <c r="N429" s="22" t="s">
        <v>530</v>
      </c>
    </row>
    <row r="430">
      <c r="A430" s="3" t="s">
        <v>117</v>
      </c>
      <c r="B430" s="3"/>
      <c r="C430" s="74">
        <v>0</v>
      </c>
      <c r="D430" s="74">
        <v>0</v>
      </c>
      <c r="E430" s="74">
        <v>0</v>
      </c>
      <c r="F430" s="74">
        <v>0</v>
      </c>
      <c r="G430" s="74">
        <v>0</v>
      </c>
      <c r="H430" s="74">
        <v>0</v>
      </c>
      <c r="I430" s="74">
        <v>0</v>
      </c>
      <c r="J430" s="74">
        <v>0</v>
      </c>
      <c r="K430" s="74">
        <v>0</v>
      </c>
      <c r="L430" s="74">
        <v>0</v>
      </c>
      <c r="M430" s="74">
        <v>0</v>
      </c>
      <c r="N430" s="78">
        <f>Sum(C430:M430)</f>
        <v>0</v>
      </c>
      <c r="O430" s="76" t="e">
        <f>(N430/N437)</f>
        <v>#DIV/0!</v>
      </c>
      <c r="P430" s="0" t="s">
        <v>531</v>
      </c>
    </row>
    <row r="431">
      <c r="A431" s="3" t="s">
        <v>121</v>
      </c>
      <c r="B431" s="3"/>
      <c r="C431" s="74">
        <v>0</v>
      </c>
      <c r="D431" s="74">
        <v>0</v>
      </c>
      <c r="E431" s="74">
        <v>0</v>
      </c>
      <c r="F431" s="74">
        <v>0</v>
      </c>
      <c r="G431" s="74">
        <v>0</v>
      </c>
      <c r="H431" s="74">
        <v>0</v>
      </c>
      <c r="I431" s="74">
        <v>0</v>
      </c>
      <c r="J431" s="74">
        <v>0</v>
      </c>
      <c r="K431" s="74">
        <v>0</v>
      </c>
      <c r="L431" s="74">
        <v>0</v>
      </c>
      <c r="M431" s="74">
        <v>0</v>
      </c>
      <c r="N431" s="78">
        <f>Sum(C431:M431)</f>
        <v>0</v>
      </c>
      <c r="O431" s="76" t="e">
        <f>(N431/N437)</f>
        <v>#DIV/0!</v>
      </c>
      <c r="P431" s="0" t="s">
        <v>532</v>
      </c>
    </row>
    <row r="432">
      <c r="A432" s="3" t="s">
        <v>122</v>
      </c>
      <c r="B432" s="3"/>
      <c r="C432" s="74">
        <v>0</v>
      </c>
      <c r="D432" s="74">
        <v>0</v>
      </c>
      <c r="E432" s="74">
        <v>0</v>
      </c>
      <c r="F432" s="74">
        <v>0</v>
      </c>
      <c r="G432" s="74">
        <v>0</v>
      </c>
      <c r="H432" s="74">
        <v>0</v>
      </c>
      <c r="I432" s="74">
        <v>0</v>
      </c>
      <c r="J432" s="74">
        <v>0</v>
      </c>
      <c r="K432" s="74">
        <v>0</v>
      </c>
      <c r="L432" s="74">
        <v>0</v>
      </c>
      <c r="M432" s="74">
        <v>0</v>
      </c>
      <c r="N432" s="78">
        <f>Sum(C432:M432)</f>
        <v>0</v>
      </c>
      <c r="O432" s="76" t="e">
        <f>(N432/N437)</f>
        <v>#DIV/0!</v>
      </c>
      <c r="P432" s="0" t="s">
        <v>533</v>
      </c>
    </row>
    <row r="433">
      <c r="A433" s="3" t="s">
        <v>124</v>
      </c>
      <c r="B433" s="3"/>
      <c r="C433" s="74">
        <v>0</v>
      </c>
      <c r="D433" s="74">
        <v>0</v>
      </c>
      <c r="E433" s="74">
        <v>0</v>
      </c>
      <c r="F433" s="74">
        <v>0</v>
      </c>
      <c r="G433" s="74">
        <v>0</v>
      </c>
      <c r="H433" s="74">
        <v>0</v>
      </c>
      <c r="I433" s="74">
        <v>0</v>
      </c>
      <c r="J433" s="74">
        <v>0</v>
      </c>
      <c r="K433" s="74">
        <v>0</v>
      </c>
      <c r="L433" s="74">
        <v>0</v>
      </c>
      <c r="M433" s="74">
        <v>0</v>
      </c>
      <c r="N433" s="78">
        <f>Sum(C433:M433)</f>
        <v>0</v>
      </c>
      <c r="O433" s="76" t="e">
        <f>(N433/N437)</f>
        <v>#DIV/0!</v>
      </c>
      <c r="P433" s="0" t="s">
        <v>534</v>
      </c>
    </row>
    <row r="434">
      <c r="A434" s="3" t="s">
        <v>535</v>
      </c>
      <c r="B434" s="3"/>
      <c r="C434" s="74">
        <v>0</v>
      </c>
      <c r="D434" s="74">
        <v>0</v>
      </c>
      <c r="E434" s="74">
        <v>0</v>
      </c>
      <c r="F434" s="74">
        <v>0</v>
      </c>
      <c r="G434" s="74">
        <v>0</v>
      </c>
      <c r="H434" s="74">
        <v>0</v>
      </c>
      <c r="I434" s="74">
        <v>0</v>
      </c>
      <c r="J434" s="74">
        <v>0</v>
      </c>
      <c r="K434" s="74">
        <v>0</v>
      </c>
      <c r="L434" s="74">
        <v>0</v>
      </c>
      <c r="M434" s="74">
        <v>0</v>
      </c>
      <c r="N434" s="78">
        <f>Sum(C434:M434)</f>
        <v>0</v>
      </c>
      <c r="O434" s="76" t="e">
        <f>(N434/N437)</f>
        <v>#DIV/0!</v>
      </c>
      <c r="P434" s="0" t="s">
        <v>536</v>
      </c>
    </row>
    <row r="435">
      <c r="A435" s="3" t="s">
        <v>537</v>
      </c>
      <c r="B435" s="3"/>
      <c r="C435" s="74">
        <v>0</v>
      </c>
      <c r="D435" s="74">
        <v>0</v>
      </c>
      <c r="E435" s="74">
        <v>0</v>
      </c>
      <c r="F435" s="74">
        <v>0</v>
      </c>
      <c r="G435" s="74">
        <v>0</v>
      </c>
      <c r="H435" s="74">
        <v>0</v>
      </c>
      <c r="I435" s="74">
        <v>0</v>
      </c>
      <c r="J435" s="74">
        <v>0</v>
      </c>
      <c r="K435" s="74">
        <v>0</v>
      </c>
      <c r="L435" s="74">
        <v>0</v>
      </c>
      <c r="M435" s="74">
        <v>0</v>
      </c>
      <c r="N435" s="78">
        <f>Sum(C435:M435)</f>
        <v>0</v>
      </c>
      <c r="O435" s="76" t="e">
        <f>(N435/N437)</f>
        <v>#DIV/0!</v>
      </c>
      <c r="P435" s="0" t="s">
        <v>538</v>
      </c>
    </row>
    <row r="436">
      <c r="A436" s="3" t="s">
        <v>539</v>
      </c>
      <c r="B436" s="3"/>
      <c r="C436" s="74">
        <v>0</v>
      </c>
      <c r="D436" s="74">
        <v>0</v>
      </c>
      <c r="E436" s="74">
        <v>0</v>
      </c>
      <c r="F436" s="74">
        <v>0</v>
      </c>
      <c r="G436" s="74">
        <v>0</v>
      </c>
      <c r="H436" s="74">
        <v>0</v>
      </c>
      <c r="I436" s="74">
        <v>0</v>
      </c>
      <c r="J436" s="74">
        <v>0</v>
      </c>
      <c r="K436" s="74">
        <v>0</v>
      </c>
      <c r="L436" s="74">
        <v>0</v>
      </c>
      <c r="M436" s="74">
        <v>0</v>
      </c>
      <c r="N436" s="78">
        <f>Sum(C436:M436)</f>
        <v>0</v>
      </c>
      <c r="O436" s="76" t="e">
        <f>(N436/N437)</f>
        <v>#DIV/0!</v>
      </c>
      <c r="P436" s="0" t="s">
        <v>540</v>
      </c>
    </row>
    <row r="437">
      <c r="A437" s="3" t="s">
        <v>541</v>
      </c>
      <c r="B437" s="3"/>
      <c r="C437" s="74"/>
      <c r="D437" s="74"/>
      <c r="E437" s="74"/>
      <c r="F437" s="74"/>
      <c r="G437" s="74"/>
      <c r="H437" s="74"/>
      <c r="I437" s="74"/>
      <c r="J437" s="74"/>
      <c r="K437" s="74"/>
      <c r="L437" s="74"/>
      <c r="M437" s="74"/>
      <c r="N437" s="78">
        <f>Sum(C437:M437)</f>
        <v>0</v>
      </c>
    </row>
    <row r="438">
      <c r="A438" s="3"/>
      <c r="B438" s="3"/>
      <c r="C438" s="74"/>
      <c r="D438" s="74"/>
      <c r="E438" s="74"/>
      <c r="F438" s="74"/>
      <c r="G438" s="74"/>
      <c r="H438" s="74"/>
      <c r="I438" s="74"/>
      <c r="J438" s="74"/>
      <c r="K438" s="74"/>
      <c r="L438" s="74"/>
      <c r="M438" s="74"/>
      <c r="N438" s="78"/>
    </row>
    <row r="439">
      <c r="A439" s="3" t="s">
        <v>542</v>
      </c>
      <c r="B439" s="3"/>
      <c r="C439" s="74">
        <v>0</v>
      </c>
      <c r="D439" s="74">
        <v>0</v>
      </c>
      <c r="E439" s="74">
        <v>0</v>
      </c>
      <c r="F439" s="74">
        <v>0</v>
      </c>
      <c r="G439" s="74">
        <v>0</v>
      </c>
      <c r="H439" s="74">
        <v>0</v>
      </c>
      <c r="I439" s="74">
        <v>0</v>
      </c>
      <c r="J439" s="74">
        <v>0</v>
      </c>
      <c r="K439" s="74">
        <v>0</v>
      </c>
      <c r="L439" s="74">
        <v>0</v>
      </c>
      <c r="M439" s="74">
        <v>0</v>
      </c>
      <c r="N439" s="78">
        <f>Sum(C439:M439)</f>
        <v>0</v>
      </c>
    </row>
    <row r="441">
      <c r="A441" s="22" t="s">
        <v>543</v>
      </c>
      <c r="C441" s="22" t="s">
        <v>363</v>
      </c>
      <c r="D441" s="22"/>
      <c r="E441" s="22"/>
      <c r="F441" s="22"/>
      <c r="G441" s="22"/>
      <c r="H441" s="22"/>
      <c r="I441" s="22"/>
      <c r="J441" s="22"/>
      <c r="K441" s="22"/>
      <c r="L441" s="22"/>
      <c r="M441" s="22"/>
    </row>
    <row r="442">
      <c r="A442" s="22"/>
      <c r="C442" s="22">
        <v>2026</v>
      </c>
      <c r="D442" s="22">
        <v>2027</v>
      </c>
      <c r="E442" s="22">
        <v>2028</v>
      </c>
      <c r="F442" s="22">
        <v>2029</v>
      </c>
      <c r="G442" s="22">
        <v>2030</v>
      </c>
      <c r="H442" s="22">
        <v>2031</v>
      </c>
      <c r="I442" s="22">
        <v>2032</v>
      </c>
      <c r="J442" s="22">
        <v>2033</v>
      </c>
      <c r="K442" s="22">
        <v>2034</v>
      </c>
      <c r="L442" s="22">
        <v>2035</v>
      </c>
      <c r="M442" s="22">
        <v>2036</v>
      </c>
    </row>
    <row r="443">
      <c r="A443" s="3"/>
      <c r="B443" s="3"/>
      <c r="C443" s="74"/>
      <c r="D443" s="74"/>
      <c r="E443" s="74"/>
      <c r="F443" s="74"/>
      <c r="G443" s="74"/>
      <c r="H443" s="74"/>
      <c r="I443" s="74"/>
      <c r="J443" s="74"/>
      <c r="K443" s="74"/>
      <c r="L443" s="74"/>
      <c r="M443" s="74"/>
      <c r="N443" s="78">
        <f>Sum(C443:M443)</f>
        <v>0</v>
      </c>
    </row>
    <row r="446">
      <c r="A446" s="22" t="s">
        <v>473</v>
      </c>
      <c r="C446" s="22" t="s">
        <v>544</v>
      </c>
      <c r="D446" s="22"/>
      <c r="E446" s="22"/>
      <c r="F446" s="22"/>
      <c r="G446" s="22"/>
      <c r="H446" s="22"/>
      <c r="I446" s="22"/>
      <c r="J446" s="22"/>
      <c r="K446" s="22"/>
      <c r="L446" s="22"/>
      <c r="M446" s="22"/>
    </row>
    <row r="447">
      <c r="A447" s="22"/>
      <c r="C447" s="22">
        <v>2026</v>
      </c>
      <c r="D447" s="22">
        <v>2027</v>
      </c>
      <c r="E447" s="22">
        <v>2028</v>
      </c>
      <c r="F447" s="22">
        <v>2029</v>
      </c>
      <c r="G447" s="22">
        <v>2030</v>
      </c>
      <c r="H447" s="22">
        <v>2031</v>
      </c>
      <c r="I447" s="22">
        <v>2032</v>
      </c>
      <c r="J447" s="22">
        <v>2033</v>
      </c>
      <c r="K447" s="22">
        <v>2034</v>
      </c>
      <c r="L447" s="22">
        <v>2035</v>
      </c>
      <c r="M447" s="22">
        <v>2036</v>
      </c>
    </row>
    <row r="448">
      <c r="A448" s="3" t="s">
        <v>545</v>
      </c>
      <c r="B448" s="3"/>
      <c r="C448" s="90">
        <v>0</v>
      </c>
      <c r="D448" s="90">
        <v>0</v>
      </c>
      <c r="E448" s="90">
        <v>0</v>
      </c>
      <c r="F448" s="90">
        <v>0</v>
      </c>
      <c r="G448" s="90">
        <v>0</v>
      </c>
      <c r="H448" s="90">
        <v>0</v>
      </c>
      <c r="I448" s="90">
        <v>0</v>
      </c>
      <c r="J448" s="90">
        <v>0</v>
      </c>
      <c r="K448" s="90">
        <v>0</v>
      </c>
      <c r="L448" s="90">
        <v>0</v>
      </c>
      <c r="M448" s="90">
        <v>0</v>
      </c>
    </row>
    <row r="449">
      <c r="A449" s="3" t="s">
        <v>546</v>
      </c>
      <c r="B449" s="3"/>
      <c r="C449" s="90">
        <v>0</v>
      </c>
      <c r="D449" s="90">
        <v>0</v>
      </c>
      <c r="E449" s="90">
        <v>0</v>
      </c>
      <c r="F449" s="90">
        <v>0</v>
      </c>
      <c r="G449" s="90">
        <v>0</v>
      </c>
      <c r="H449" s="90">
        <v>0</v>
      </c>
      <c r="I449" s="90">
        <v>0</v>
      </c>
      <c r="J449" s="90">
        <v>0</v>
      </c>
      <c r="K449" s="90">
        <v>0</v>
      </c>
      <c r="L449" s="90">
        <v>0</v>
      </c>
      <c r="M449" s="90">
        <v>0</v>
      </c>
    </row>
    <row r="450">
      <c r="A450" s="3" t="s">
        <v>547</v>
      </c>
      <c r="B450" s="3"/>
      <c r="C450" s="90">
        <v>0</v>
      </c>
      <c r="D450" s="90">
        <v>0</v>
      </c>
      <c r="E450" s="90">
        <v>0</v>
      </c>
      <c r="F450" s="90">
        <v>0</v>
      </c>
      <c r="G450" s="90">
        <v>0</v>
      </c>
      <c r="H450" s="90">
        <v>0</v>
      </c>
      <c r="I450" s="90">
        <v>0</v>
      </c>
      <c r="J450" s="90">
        <v>0</v>
      </c>
      <c r="K450" s="90">
        <v>0</v>
      </c>
      <c r="L450" s="90">
        <v>0</v>
      </c>
      <c r="M450" s="90">
        <v>0</v>
      </c>
    </row>
    <row r="451">
      <c r="A451" s="3" t="s">
        <v>548</v>
      </c>
      <c r="B451" s="3"/>
      <c r="C451" s="90">
        <v>0</v>
      </c>
      <c r="D451" s="90">
        <v>0</v>
      </c>
      <c r="E451" s="90">
        <v>0</v>
      </c>
      <c r="F451" s="90">
        <v>0</v>
      </c>
      <c r="G451" s="90">
        <v>0</v>
      </c>
      <c r="H451" s="90">
        <v>0</v>
      </c>
      <c r="I451" s="90">
        <v>0</v>
      </c>
      <c r="J451" s="90">
        <v>0</v>
      </c>
      <c r="K451" s="90">
        <v>0</v>
      </c>
      <c r="L451" s="90">
        <v>0</v>
      </c>
      <c r="M451" s="90">
        <v>0</v>
      </c>
    </row>
    <row r="452">
      <c r="A452" s="3" t="s">
        <v>549</v>
      </c>
      <c r="B452" s="3"/>
      <c r="C452" s="90">
        <v>0</v>
      </c>
      <c r="D452" s="90">
        <v>0</v>
      </c>
      <c r="E452" s="90">
        <v>0</v>
      </c>
      <c r="F452" s="90">
        <v>0</v>
      </c>
      <c r="G452" s="90">
        <v>0</v>
      </c>
      <c r="H452" s="90">
        <v>0</v>
      </c>
      <c r="I452" s="90">
        <v>0</v>
      </c>
      <c r="J452" s="90">
        <v>0</v>
      </c>
      <c r="K452" s="90">
        <v>0</v>
      </c>
      <c r="L452" s="90">
        <v>0</v>
      </c>
      <c r="M452" s="90">
        <v>0</v>
      </c>
    </row>
    <row r="453">
      <c r="A453" s="3" t="s">
        <v>550</v>
      </c>
      <c r="B453" s="3"/>
      <c r="C453" s="90">
        <v>0</v>
      </c>
      <c r="D453" s="90">
        <v>0</v>
      </c>
      <c r="E453" s="90">
        <v>0</v>
      </c>
      <c r="F453" s="90">
        <v>0</v>
      </c>
      <c r="G453" s="90">
        <v>0</v>
      </c>
      <c r="H453" s="90">
        <v>0</v>
      </c>
      <c r="I453" s="90">
        <v>0</v>
      </c>
      <c r="J453" s="90">
        <v>0</v>
      </c>
      <c r="K453" s="90">
        <v>0</v>
      </c>
      <c r="L453" s="90">
        <v>0</v>
      </c>
      <c r="M453" s="90">
        <v>0</v>
      </c>
    </row>
    <row r="454">
      <c r="A454" s="3" t="s">
        <v>551</v>
      </c>
      <c r="B454" s="3"/>
      <c r="C454" s="90">
        <v>0</v>
      </c>
      <c r="D454" s="90">
        <v>0</v>
      </c>
      <c r="E454" s="90"/>
      <c r="F454" s="90">
        <v>0</v>
      </c>
      <c r="G454" s="90"/>
      <c r="H454" s="90">
        <v>0</v>
      </c>
      <c r="I454" s="90"/>
      <c r="J454" s="90"/>
      <c r="K454" s="90"/>
      <c r="L454" s="90"/>
      <c r="M454" s="90">
        <v>0</v>
      </c>
    </row>
    <row r="456">
      <c r="A456" s="25" t="s">
        <v>141</v>
      </c>
      <c r="B456" s="25"/>
      <c r="C456" s="25"/>
      <c r="D456" s="25"/>
      <c r="E456" s="25"/>
      <c r="F456" s="25"/>
      <c r="G456" s="25"/>
      <c r="H456" s="25"/>
      <c r="I456" s="25"/>
      <c r="J456" s="25"/>
      <c r="K456" s="25"/>
      <c r="L456" s="24"/>
      <c r="M456" s="24"/>
    </row>
    <row r="459">
      <c r="A459" s="22" t="s">
        <v>363</v>
      </c>
      <c r="C459" s="22" t="s">
        <v>502</v>
      </c>
      <c r="D459" s="22"/>
      <c r="E459" s="22"/>
      <c r="F459" s="22"/>
      <c r="G459" s="22"/>
      <c r="H459" s="22"/>
      <c r="I459" s="22"/>
      <c r="J459" s="22"/>
      <c r="K459" s="22"/>
      <c r="L459" s="22"/>
      <c r="M459" s="22"/>
    </row>
    <row r="460">
      <c r="A460" s="22"/>
      <c r="C460" s="22">
        <v>2026</v>
      </c>
      <c r="D460" s="22">
        <v>2027</v>
      </c>
      <c r="E460" s="22">
        <v>2028</v>
      </c>
      <c r="F460" s="22">
        <v>2029</v>
      </c>
      <c r="G460" s="22">
        <v>2030</v>
      </c>
      <c r="H460" s="22">
        <v>2031</v>
      </c>
      <c r="I460" s="22">
        <v>2032</v>
      </c>
      <c r="J460" s="22">
        <v>2033</v>
      </c>
      <c r="K460" s="22">
        <v>2034</v>
      </c>
      <c r="L460" s="22">
        <v>2035</v>
      </c>
      <c r="M460" s="22">
        <v>2036</v>
      </c>
    </row>
    <row r="461">
      <c r="A461" s="3" t="s">
        <v>504</v>
      </c>
      <c r="B461" s="3"/>
      <c r="C461" s="82">
        <v>0</v>
      </c>
      <c r="D461" s="82">
        <v>0</v>
      </c>
      <c r="E461" s="82">
        <v>0</v>
      </c>
      <c r="F461" s="82">
        <v>0</v>
      </c>
      <c r="G461" s="82">
        <v>0</v>
      </c>
      <c r="H461" s="82">
        <v>0</v>
      </c>
      <c r="I461" s="82">
        <v>0</v>
      </c>
      <c r="J461" s="82">
        <v>0</v>
      </c>
      <c r="K461" s="82">
        <v>0</v>
      </c>
      <c r="L461" s="82">
        <v>0</v>
      </c>
      <c r="M461" s="82">
        <v>0</v>
      </c>
    </row>
    <row r="462">
      <c r="A462" s="3" t="s">
        <v>506</v>
      </c>
      <c r="B462" s="3"/>
      <c r="C462" s="83">
        <v>0</v>
      </c>
      <c r="D462" s="83">
        <v>0</v>
      </c>
      <c r="E462" s="83">
        <v>0</v>
      </c>
      <c r="F462" s="83">
        <v>0</v>
      </c>
      <c r="G462" s="83">
        <v>0</v>
      </c>
      <c r="H462" s="83">
        <v>0</v>
      </c>
      <c r="I462" s="83">
        <v>0</v>
      </c>
      <c r="J462" s="83">
        <v>0</v>
      </c>
      <c r="K462" s="83">
        <v>0</v>
      </c>
      <c r="L462" s="83">
        <v>0</v>
      </c>
      <c r="M462" s="83">
        <v>0</v>
      </c>
    </row>
    <row r="463">
      <c r="A463" s="3" t="s">
        <v>507</v>
      </c>
      <c r="B463" s="3"/>
      <c r="C463" s="83">
        <v>0</v>
      </c>
      <c r="D463" s="83">
        <v>0</v>
      </c>
      <c r="E463" s="83">
        <v>0</v>
      </c>
      <c r="F463" s="83">
        <v>0</v>
      </c>
      <c r="G463" s="83">
        <v>0</v>
      </c>
      <c r="H463" s="83">
        <v>0</v>
      </c>
      <c r="I463" s="83">
        <v>0</v>
      </c>
      <c r="J463" s="83">
        <v>0</v>
      </c>
      <c r="K463" s="83">
        <v>0</v>
      </c>
      <c r="L463" s="83">
        <v>0</v>
      </c>
      <c r="M463" s="83">
        <v>0</v>
      </c>
    </row>
    <row r="464">
      <c r="A464" s="3" t="s">
        <v>508</v>
      </c>
      <c r="B464" s="3"/>
      <c r="C464" s="83">
        <v>0</v>
      </c>
      <c r="D464" s="83">
        <v>0</v>
      </c>
      <c r="E464" s="83">
        <v>0</v>
      </c>
      <c r="F464" s="83">
        <v>0</v>
      </c>
      <c r="G464" s="83">
        <v>0</v>
      </c>
      <c r="H464" s="83">
        <v>0</v>
      </c>
      <c r="I464" s="83">
        <v>0</v>
      </c>
      <c r="J464" s="83">
        <v>0</v>
      </c>
      <c r="K464" s="83">
        <v>0</v>
      </c>
      <c r="L464" s="83">
        <v>0</v>
      </c>
      <c r="M464" s="83">
        <v>0</v>
      </c>
    </row>
    <row r="465">
      <c r="A465" s="3" t="s">
        <v>509</v>
      </c>
      <c r="B465" s="3"/>
      <c r="C465" s="83">
        <v>0</v>
      </c>
      <c r="D465" s="83">
        <v>0</v>
      </c>
      <c r="E465" s="83">
        <v>0</v>
      </c>
      <c r="F465" s="83">
        <v>0</v>
      </c>
      <c r="G465" s="83">
        <v>0</v>
      </c>
      <c r="H465" s="83">
        <v>0</v>
      </c>
      <c r="I465" s="83">
        <v>0</v>
      </c>
      <c r="J465" s="83">
        <v>0</v>
      </c>
      <c r="K465" s="83">
        <v>0</v>
      </c>
      <c r="L465" s="83">
        <v>0</v>
      </c>
      <c r="M465" s="83">
        <v>0</v>
      </c>
    </row>
    <row r="466">
      <c r="A466" s="3" t="s">
        <v>510</v>
      </c>
      <c r="B466" s="3"/>
      <c r="C466" s="83">
        <v>0</v>
      </c>
      <c r="D466" s="83">
        <v>0</v>
      </c>
      <c r="E466" s="83">
        <v>0</v>
      </c>
      <c r="F466" s="83">
        <v>0</v>
      </c>
      <c r="G466" s="83">
        <v>0</v>
      </c>
      <c r="H466" s="83">
        <v>0</v>
      </c>
      <c r="I466" s="83">
        <v>0</v>
      </c>
      <c r="J466" s="83">
        <v>0</v>
      </c>
      <c r="K466" s="83">
        <v>0</v>
      </c>
      <c r="L466" s="83">
        <v>0</v>
      </c>
      <c r="M466" s="83">
        <v>0</v>
      </c>
    </row>
    <row r="470">
      <c r="A470" s="22" t="s">
        <v>529</v>
      </c>
      <c r="C470" s="22" t="s">
        <v>363</v>
      </c>
      <c r="D470" s="22"/>
      <c r="E470" s="22"/>
      <c r="F470" s="22"/>
      <c r="G470" s="22"/>
      <c r="H470" s="22"/>
      <c r="I470" s="22"/>
      <c r="J470" s="22"/>
      <c r="K470" s="22"/>
      <c r="L470" s="22"/>
      <c r="M470" s="22"/>
    </row>
    <row r="471">
      <c r="A471" s="22"/>
      <c r="B471" s="3"/>
      <c r="C471" s="22">
        <v>2026</v>
      </c>
      <c r="D471" s="22">
        <v>2027</v>
      </c>
      <c r="E471" s="22">
        <v>2028</v>
      </c>
      <c r="F471" s="22">
        <v>2029</v>
      </c>
      <c r="G471" s="22">
        <v>2030</v>
      </c>
      <c r="H471" s="22">
        <v>2031</v>
      </c>
      <c r="I471" s="22">
        <v>2032</v>
      </c>
      <c r="J471" s="22">
        <v>2033</v>
      </c>
      <c r="K471" s="22">
        <v>2034</v>
      </c>
      <c r="L471" s="22">
        <v>2035</v>
      </c>
      <c r="M471" s="22">
        <v>2036</v>
      </c>
      <c r="N471" s="22" t="s">
        <v>530</v>
      </c>
    </row>
    <row r="472">
      <c r="A472" s="3" t="s">
        <v>117</v>
      </c>
      <c r="B472" s="3"/>
      <c r="C472" s="74">
        <v>0</v>
      </c>
      <c r="D472" s="74">
        <v>0</v>
      </c>
      <c r="E472" s="74">
        <v>0</v>
      </c>
      <c r="F472" s="74">
        <v>0</v>
      </c>
      <c r="G472" s="74">
        <v>0</v>
      </c>
      <c r="H472" s="74">
        <v>0</v>
      </c>
      <c r="I472" s="74">
        <v>0</v>
      </c>
      <c r="J472" s="74">
        <v>0</v>
      </c>
      <c r="K472" s="74">
        <v>0</v>
      </c>
      <c r="L472" s="74">
        <v>0</v>
      </c>
      <c r="M472" s="74">
        <v>0</v>
      </c>
      <c r="N472" s="78">
        <f>Sum(C472:M472)</f>
        <v>0</v>
      </c>
      <c r="O472" s="76" t="e">
        <f>(N472/N479)</f>
        <v>#DIV/0!</v>
      </c>
      <c r="P472" s="0" t="s">
        <v>531</v>
      </c>
    </row>
    <row r="473">
      <c r="A473" s="3" t="s">
        <v>121</v>
      </c>
      <c r="B473" s="3"/>
      <c r="C473" s="74">
        <v>0</v>
      </c>
      <c r="D473" s="74">
        <v>0</v>
      </c>
      <c r="E473" s="74">
        <v>0</v>
      </c>
      <c r="F473" s="74">
        <v>0</v>
      </c>
      <c r="G473" s="74">
        <v>0</v>
      </c>
      <c r="H473" s="74">
        <v>0</v>
      </c>
      <c r="I473" s="74">
        <v>0</v>
      </c>
      <c r="J473" s="74">
        <v>0</v>
      </c>
      <c r="K473" s="74">
        <v>0</v>
      </c>
      <c r="L473" s="74">
        <v>0</v>
      </c>
      <c r="M473" s="74">
        <v>0</v>
      </c>
      <c r="N473" s="78">
        <f>Sum(C473:M473)</f>
        <v>0</v>
      </c>
      <c r="O473" s="76" t="e">
        <f>(N473/N479)</f>
        <v>#DIV/0!</v>
      </c>
      <c r="P473" s="0" t="s">
        <v>532</v>
      </c>
    </row>
    <row r="474">
      <c r="A474" s="3" t="s">
        <v>122</v>
      </c>
      <c r="B474" s="3"/>
      <c r="C474" s="74">
        <v>0</v>
      </c>
      <c r="D474" s="74">
        <v>0</v>
      </c>
      <c r="E474" s="74">
        <v>0</v>
      </c>
      <c r="F474" s="74">
        <v>0</v>
      </c>
      <c r="G474" s="74">
        <v>0</v>
      </c>
      <c r="H474" s="74">
        <v>0</v>
      </c>
      <c r="I474" s="74">
        <v>0</v>
      </c>
      <c r="J474" s="74">
        <v>0</v>
      </c>
      <c r="K474" s="74">
        <v>0</v>
      </c>
      <c r="L474" s="74">
        <v>0</v>
      </c>
      <c r="M474" s="74">
        <v>0</v>
      </c>
      <c r="N474" s="78">
        <f>Sum(C474:M474)</f>
        <v>0</v>
      </c>
      <c r="O474" s="76" t="e">
        <f>(N474/N479)</f>
        <v>#DIV/0!</v>
      </c>
      <c r="P474" s="0" t="s">
        <v>533</v>
      </c>
    </row>
    <row r="475">
      <c r="A475" s="3" t="s">
        <v>124</v>
      </c>
      <c r="B475" s="3"/>
      <c r="C475" s="74">
        <v>0</v>
      </c>
      <c r="D475" s="74">
        <v>0</v>
      </c>
      <c r="E475" s="74">
        <v>0</v>
      </c>
      <c r="F475" s="74">
        <v>0</v>
      </c>
      <c r="G475" s="74">
        <v>0</v>
      </c>
      <c r="H475" s="74">
        <v>0</v>
      </c>
      <c r="I475" s="74">
        <v>0</v>
      </c>
      <c r="J475" s="74">
        <v>0</v>
      </c>
      <c r="K475" s="74">
        <v>0</v>
      </c>
      <c r="L475" s="74">
        <v>0</v>
      </c>
      <c r="M475" s="74">
        <v>0</v>
      </c>
      <c r="N475" s="78">
        <f>Sum(C475:M475)</f>
        <v>0</v>
      </c>
      <c r="O475" s="76" t="e">
        <f>(N475/N479)</f>
        <v>#DIV/0!</v>
      </c>
      <c r="P475" s="0" t="s">
        <v>534</v>
      </c>
    </row>
    <row r="476">
      <c r="A476" s="3" t="s">
        <v>535</v>
      </c>
      <c r="B476" s="3"/>
      <c r="C476" s="74">
        <v>0</v>
      </c>
      <c r="D476" s="74">
        <v>0</v>
      </c>
      <c r="E476" s="74">
        <v>0</v>
      </c>
      <c r="F476" s="74">
        <v>0</v>
      </c>
      <c r="G476" s="74">
        <v>0</v>
      </c>
      <c r="H476" s="74">
        <v>0</v>
      </c>
      <c r="I476" s="74">
        <v>0</v>
      </c>
      <c r="J476" s="74">
        <v>0</v>
      </c>
      <c r="K476" s="74">
        <v>0</v>
      </c>
      <c r="L476" s="74">
        <v>0</v>
      </c>
      <c r="M476" s="74">
        <v>0</v>
      </c>
      <c r="N476" s="78">
        <f>Sum(C476:M476)</f>
        <v>0</v>
      </c>
      <c r="O476" s="76" t="e">
        <f>(N476/N479)</f>
        <v>#DIV/0!</v>
      </c>
      <c r="P476" s="0" t="s">
        <v>536</v>
      </c>
    </row>
    <row r="477">
      <c r="A477" s="3" t="s">
        <v>537</v>
      </c>
      <c r="B477" s="3"/>
      <c r="C477" s="74">
        <v>0</v>
      </c>
      <c r="D477" s="74">
        <v>0</v>
      </c>
      <c r="E477" s="74">
        <v>0</v>
      </c>
      <c r="F477" s="74">
        <v>0</v>
      </c>
      <c r="G477" s="74">
        <v>0</v>
      </c>
      <c r="H477" s="74">
        <v>0</v>
      </c>
      <c r="I477" s="74">
        <v>0</v>
      </c>
      <c r="J477" s="74">
        <v>0</v>
      </c>
      <c r="K477" s="74">
        <v>0</v>
      </c>
      <c r="L477" s="74">
        <v>0</v>
      </c>
      <c r="M477" s="74">
        <v>0</v>
      </c>
      <c r="N477" s="78">
        <f>Sum(C477:M477)</f>
        <v>0</v>
      </c>
      <c r="O477" s="76" t="e">
        <f>(N477/N479)</f>
        <v>#DIV/0!</v>
      </c>
      <c r="P477" s="0" t="s">
        <v>538</v>
      </c>
    </row>
    <row r="478">
      <c r="A478" s="3" t="s">
        <v>539</v>
      </c>
      <c r="B478" s="3"/>
      <c r="C478" s="74">
        <v>0</v>
      </c>
      <c r="D478" s="74">
        <v>0</v>
      </c>
      <c r="E478" s="74">
        <v>0</v>
      </c>
      <c r="F478" s="74">
        <v>0</v>
      </c>
      <c r="G478" s="74">
        <v>0</v>
      </c>
      <c r="H478" s="74">
        <v>0</v>
      </c>
      <c r="I478" s="74">
        <v>0</v>
      </c>
      <c r="J478" s="74">
        <v>0</v>
      </c>
      <c r="K478" s="74">
        <v>0</v>
      </c>
      <c r="L478" s="74">
        <v>0</v>
      </c>
      <c r="M478" s="74">
        <v>0</v>
      </c>
      <c r="N478" s="78">
        <f>Sum(C478:M478)</f>
        <v>0</v>
      </c>
      <c r="O478" s="76" t="e">
        <f>(N478/N479)</f>
        <v>#DIV/0!</v>
      </c>
      <c r="P478" s="0" t="s">
        <v>540</v>
      </c>
    </row>
    <row r="479">
      <c r="A479" s="3" t="s">
        <v>541</v>
      </c>
      <c r="B479" s="3"/>
      <c r="C479" s="74"/>
      <c r="D479" s="74"/>
      <c r="E479" s="74"/>
      <c r="F479" s="74"/>
      <c r="G479" s="74"/>
      <c r="H479" s="74"/>
      <c r="I479" s="74"/>
      <c r="J479" s="74"/>
      <c r="K479" s="74"/>
      <c r="L479" s="74"/>
      <c r="M479" s="74"/>
      <c r="N479" s="78">
        <f>Sum(C479:M479)</f>
        <v>0</v>
      </c>
    </row>
    <row r="480">
      <c r="A480" s="3"/>
      <c r="B480" s="3"/>
      <c r="C480" s="74"/>
      <c r="D480" s="74"/>
      <c r="E480" s="74"/>
      <c r="F480" s="74"/>
      <c r="G480" s="74"/>
      <c r="H480" s="74"/>
      <c r="I480" s="74"/>
      <c r="J480" s="74"/>
      <c r="K480" s="74"/>
      <c r="L480" s="74"/>
      <c r="M480" s="74"/>
      <c r="N480" s="78"/>
    </row>
    <row r="481">
      <c r="A481" s="3" t="s">
        <v>542</v>
      </c>
      <c r="B481" s="3"/>
      <c r="C481" s="74">
        <v>0</v>
      </c>
      <c r="D481" s="74">
        <v>0</v>
      </c>
      <c r="E481" s="74">
        <v>0</v>
      </c>
      <c r="F481" s="74">
        <v>0</v>
      </c>
      <c r="G481" s="74">
        <v>0</v>
      </c>
      <c r="H481" s="74">
        <v>0</v>
      </c>
      <c r="I481" s="74">
        <v>0</v>
      </c>
      <c r="J481" s="74">
        <v>0</v>
      </c>
      <c r="K481" s="74">
        <v>0</v>
      </c>
      <c r="L481" s="74">
        <v>0</v>
      </c>
      <c r="M481" s="74">
        <v>0</v>
      </c>
      <c r="N481" s="78">
        <f>Sum(C481:M481)</f>
        <v>0</v>
      </c>
    </row>
    <row r="483">
      <c r="A483" s="22" t="s">
        <v>543</v>
      </c>
      <c r="C483" s="22" t="s">
        <v>363</v>
      </c>
      <c r="D483" s="22"/>
      <c r="E483" s="22"/>
      <c r="F483" s="22"/>
      <c r="G483" s="22"/>
      <c r="H483" s="22"/>
      <c r="I483" s="22"/>
      <c r="J483" s="22"/>
      <c r="K483" s="22"/>
      <c r="L483" s="22"/>
      <c r="M483" s="22"/>
    </row>
    <row r="484">
      <c r="A484" s="22"/>
      <c r="C484" s="22">
        <v>2026</v>
      </c>
      <c r="D484" s="22">
        <v>2027</v>
      </c>
      <c r="E484" s="22">
        <v>2028</v>
      </c>
      <c r="F484" s="22">
        <v>2029</v>
      </c>
      <c r="G484" s="22">
        <v>2030</v>
      </c>
      <c r="H484" s="22">
        <v>2031</v>
      </c>
      <c r="I484" s="22">
        <v>2032</v>
      </c>
      <c r="J484" s="22">
        <v>2033</v>
      </c>
      <c r="K484" s="22">
        <v>2034</v>
      </c>
      <c r="L484" s="22">
        <v>2035</v>
      </c>
      <c r="M484" s="22">
        <v>2036</v>
      </c>
    </row>
    <row r="485">
      <c r="A485" s="3"/>
      <c r="B485" s="3"/>
      <c r="C485" s="74"/>
      <c r="D485" s="74"/>
      <c r="E485" s="74"/>
      <c r="F485" s="74"/>
      <c r="G485" s="74"/>
      <c r="H485" s="74"/>
      <c r="I485" s="74"/>
      <c r="J485" s="74"/>
      <c r="K485" s="74"/>
      <c r="L485" s="74"/>
      <c r="M485" s="74"/>
      <c r="N485" s="78">
        <f>Sum(C485:M485)</f>
        <v>0</v>
      </c>
    </row>
    <row r="488">
      <c r="A488" s="22" t="s">
        <v>473</v>
      </c>
      <c r="C488" s="22" t="s">
        <v>544</v>
      </c>
      <c r="D488" s="22"/>
      <c r="E488" s="22"/>
      <c r="F488" s="22"/>
      <c r="G488" s="22"/>
      <c r="H488" s="22"/>
      <c r="I488" s="22"/>
      <c r="J488" s="22"/>
      <c r="K488" s="22"/>
      <c r="L488" s="22"/>
      <c r="M488" s="22"/>
    </row>
    <row r="489">
      <c r="A489" s="22"/>
      <c r="C489" s="22">
        <v>2026</v>
      </c>
      <c r="D489" s="22">
        <v>2027</v>
      </c>
      <c r="E489" s="22">
        <v>2028</v>
      </c>
      <c r="F489" s="22">
        <v>2029</v>
      </c>
      <c r="G489" s="22">
        <v>2030</v>
      </c>
      <c r="H489" s="22">
        <v>2031</v>
      </c>
      <c r="I489" s="22">
        <v>2032</v>
      </c>
      <c r="J489" s="22">
        <v>2033</v>
      </c>
      <c r="K489" s="22">
        <v>2034</v>
      </c>
      <c r="L489" s="22">
        <v>2035</v>
      </c>
      <c r="M489" s="22">
        <v>2036</v>
      </c>
    </row>
    <row r="490">
      <c r="A490" s="3" t="s">
        <v>545</v>
      </c>
      <c r="B490" s="3"/>
      <c r="C490" s="90">
        <v>0</v>
      </c>
      <c r="D490" s="90">
        <v>0</v>
      </c>
      <c r="E490" s="90">
        <v>0</v>
      </c>
      <c r="F490" s="90">
        <v>0</v>
      </c>
      <c r="G490" s="90">
        <v>0</v>
      </c>
      <c r="H490" s="90">
        <v>0</v>
      </c>
      <c r="I490" s="90">
        <v>0</v>
      </c>
      <c r="J490" s="90">
        <v>0</v>
      </c>
      <c r="K490" s="90">
        <v>0</v>
      </c>
      <c r="L490" s="90">
        <v>0</v>
      </c>
      <c r="M490" s="90">
        <v>0</v>
      </c>
    </row>
    <row r="491">
      <c r="A491" s="3" t="s">
        <v>546</v>
      </c>
      <c r="B491" s="3"/>
      <c r="C491" s="90">
        <v>0</v>
      </c>
      <c r="D491" s="90">
        <v>0</v>
      </c>
      <c r="E491" s="90">
        <v>0</v>
      </c>
      <c r="F491" s="90">
        <v>0</v>
      </c>
      <c r="G491" s="90">
        <v>0</v>
      </c>
      <c r="H491" s="90">
        <v>0</v>
      </c>
      <c r="I491" s="90">
        <v>0</v>
      </c>
      <c r="J491" s="90">
        <v>0</v>
      </c>
      <c r="K491" s="90">
        <v>0</v>
      </c>
      <c r="L491" s="90">
        <v>0</v>
      </c>
      <c r="M491" s="90">
        <v>0</v>
      </c>
    </row>
    <row r="492">
      <c r="A492" s="3" t="s">
        <v>547</v>
      </c>
      <c r="B492" s="3"/>
      <c r="C492" s="90">
        <v>0</v>
      </c>
      <c r="D492" s="90">
        <v>0</v>
      </c>
      <c r="E492" s="90">
        <v>0</v>
      </c>
      <c r="F492" s="90">
        <v>0</v>
      </c>
      <c r="G492" s="90">
        <v>0</v>
      </c>
      <c r="H492" s="90">
        <v>0</v>
      </c>
      <c r="I492" s="90">
        <v>0</v>
      </c>
      <c r="J492" s="90">
        <v>0</v>
      </c>
      <c r="K492" s="90">
        <v>0</v>
      </c>
      <c r="L492" s="90">
        <v>0</v>
      </c>
      <c r="M492" s="90">
        <v>0</v>
      </c>
    </row>
    <row r="493">
      <c r="A493" s="3" t="s">
        <v>548</v>
      </c>
      <c r="B493" s="3"/>
      <c r="C493" s="90">
        <v>0</v>
      </c>
      <c r="D493" s="90">
        <v>0</v>
      </c>
      <c r="E493" s="90">
        <v>0</v>
      </c>
      <c r="F493" s="90">
        <v>0</v>
      </c>
      <c r="G493" s="90">
        <v>0</v>
      </c>
      <c r="H493" s="90">
        <v>0</v>
      </c>
      <c r="I493" s="90">
        <v>0</v>
      </c>
      <c r="J493" s="90">
        <v>0</v>
      </c>
      <c r="K493" s="90">
        <v>0</v>
      </c>
      <c r="L493" s="90">
        <v>0</v>
      </c>
      <c r="M493" s="90">
        <v>0</v>
      </c>
    </row>
    <row r="494">
      <c r="A494" s="3" t="s">
        <v>549</v>
      </c>
      <c r="B494" s="3"/>
      <c r="C494" s="90">
        <v>0</v>
      </c>
      <c r="D494" s="90">
        <v>0</v>
      </c>
      <c r="E494" s="90">
        <v>0</v>
      </c>
      <c r="F494" s="90">
        <v>0</v>
      </c>
      <c r="G494" s="90">
        <v>0</v>
      </c>
      <c r="H494" s="90">
        <v>0</v>
      </c>
      <c r="I494" s="90">
        <v>0</v>
      </c>
      <c r="J494" s="90">
        <v>0</v>
      </c>
      <c r="K494" s="90">
        <v>0</v>
      </c>
      <c r="L494" s="90">
        <v>0</v>
      </c>
      <c r="M494" s="90">
        <v>0</v>
      </c>
    </row>
    <row r="495">
      <c r="A495" s="3" t="s">
        <v>550</v>
      </c>
      <c r="B495" s="3"/>
      <c r="C495" s="90">
        <v>0</v>
      </c>
      <c r="D495" s="90">
        <v>0</v>
      </c>
      <c r="E495" s="90">
        <v>0</v>
      </c>
      <c r="F495" s="90">
        <v>0</v>
      </c>
      <c r="G495" s="90">
        <v>0</v>
      </c>
      <c r="H495" s="90">
        <v>0</v>
      </c>
      <c r="I495" s="90">
        <v>0</v>
      </c>
      <c r="J495" s="90">
        <v>0</v>
      </c>
      <c r="K495" s="90">
        <v>0</v>
      </c>
      <c r="L495" s="90">
        <v>0</v>
      </c>
      <c r="M495" s="90">
        <v>0</v>
      </c>
    </row>
    <row r="496">
      <c r="A496" s="3" t="s">
        <v>551</v>
      </c>
      <c r="B496" s="3"/>
      <c r="C496" s="90">
        <v>0</v>
      </c>
      <c r="D496" s="90">
        <v>0</v>
      </c>
      <c r="E496" s="90"/>
      <c r="F496" s="90">
        <v>0</v>
      </c>
      <c r="G496" s="90"/>
      <c r="H496" s="90">
        <v>0</v>
      </c>
      <c r="I496" s="90"/>
      <c r="J496" s="90"/>
      <c r="K496" s="90"/>
      <c r="L496" s="90"/>
      <c r="M496" s="90">
        <v>0</v>
      </c>
    </row>
    <row r="498">
      <c r="A498" s="25" t="s">
        <v>142</v>
      </c>
      <c r="B498" s="25"/>
      <c r="C498" s="25"/>
      <c r="D498" s="25"/>
      <c r="E498" s="25"/>
      <c r="F498" s="25"/>
      <c r="G498" s="25"/>
      <c r="H498" s="25"/>
      <c r="I498" s="25"/>
      <c r="J498" s="25"/>
      <c r="K498" s="25"/>
      <c r="L498" s="24"/>
      <c r="M498" s="24"/>
    </row>
    <row r="501">
      <c r="A501" s="22" t="s">
        <v>363</v>
      </c>
      <c r="C501" s="22" t="s">
        <v>502</v>
      </c>
      <c r="D501" s="22"/>
      <c r="E501" s="22"/>
      <c r="F501" s="22"/>
      <c r="G501" s="22"/>
      <c r="H501" s="22"/>
      <c r="I501" s="22"/>
      <c r="J501" s="22"/>
      <c r="K501" s="22"/>
      <c r="L501" s="22"/>
      <c r="M501" s="22"/>
    </row>
    <row r="502">
      <c r="A502" s="22"/>
      <c r="C502" s="22">
        <v>2026</v>
      </c>
      <c r="D502" s="22">
        <v>2027</v>
      </c>
      <c r="E502" s="22">
        <v>2028</v>
      </c>
      <c r="F502" s="22">
        <v>2029</v>
      </c>
      <c r="G502" s="22">
        <v>2030</v>
      </c>
      <c r="H502" s="22">
        <v>2031</v>
      </c>
      <c r="I502" s="22">
        <v>2032</v>
      </c>
      <c r="J502" s="22">
        <v>2033</v>
      </c>
      <c r="K502" s="22">
        <v>2034</v>
      </c>
      <c r="L502" s="22">
        <v>2035</v>
      </c>
      <c r="M502" s="22">
        <v>2036</v>
      </c>
    </row>
    <row r="503">
      <c r="A503" s="3" t="s">
        <v>504</v>
      </c>
      <c r="B503" s="3"/>
      <c r="C503" s="82">
        <v>0</v>
      </c>
      <c r="D503" s="82">
        <v>0</v>
      </c>
      <c r="E503" s="82">
        <v>0</v>
      </c>
      <c r="F503" s="82">
        <v>0</v>
      </c>
      <c r="G503" s="82">
        <v>0</v>
      </c>
      <c r="H503" s="82">
        <v>0</v>
      </c>
      <c r="I503" s="82">
        <v>0</v>
      </c>
      <c r="J503" s="82">
        <v>0</v>
      </c>
      <c r="K503" s="82">
        <v>0</v>
      </c>
      <c r="L503" s="82">
        <v>0</v>
      </c>
      <c r="M503" s="82">
        <v>0</v>
      </c>
    </row>
    <row r="504">
      <c r="A504" s="3" t="s">
        <v>506</v>
      </c>
      <c r="B504" s="3"/>
      <c r="C504" s="83">
        <v>0</v>
      </c>
      <c r="D504" s="83">
        <v>0</v>
      </c>
      <c r="E504" s="83">
        <v>0</v>
      </c>
      <c r="F504" s="83">
        <v>0</v>
      </c>
      <c r="G504" s="83">
        <v>0</v>
      </c>
      <c r="H504" s="83">
        <v>0</v>
      </c>
      <c r="I504" s="83">
        <v>0</v>
      </c>
      <c r="J504" s="83">
        <v>0</v>
      </c>
      <c r="K504" s="83">
        <v>0</v>
      </c>
      <c r="L504" s="83">
        <v>0</v>
      </c>
      <c r="M504" s="83">
        <v>0</v>
      </c>
    </row>
    <row r="505">
      <c r="A505" s="3" t="s">
        <v>507</v>
      </c>
      <c r="B505" s="3"/>
      <c r="C505" s="83">
        <v>0</v>
      </c>
      <c r="D505" s="83">
        <v>0</v>
      </c>
      <c r="E505" s="83">
        <v>0</v>
      </c>
      <c r="F505" s="83">
        <v>0</v>
      </c>
      <c r="G505" s="83">
        <v>0</v>
      </c>
      <c r="H505" s="83">
        <v>0</v>
      </c>
      <c r="I505" s="83">
        <v>0</v>
      </c>
      <c r="J505" s="83">
        <v>0</v>
      </c>
      <c r="K505" s="83">
        <v>0</v>
      </c>
      <c r="L505" s="83">
        <v>0</v>
      </c>
      <c r="M505" s="83">
        <v>0</v>
      </c>
    </row>
    <row r="506">
      <c r="A506" s="3" t="s">
        <v>508</v>
      </c>
      <c r="B506" s="3"/>
      <c r="C506" s="83">
        <v>0</v>
      </c>
      <c r="D506" s="83">
        <v>0</v>
      </c>
      <c r="E506" s="83">
        <v>0</v>
      </c>
      <c r="F506" s="83">
        <v>0</v>
      </c>
      <c r="G506" s="83">
        <v>0</v>
      </c>
      <c r="H506" s="83">
        <v>0</v>
      </c>
      <c r="I506" s="83">
        <v>0</v>
      </c>
      <c r="J506" s="83">
        <v>0</v>
      </c>
      <c r="K506" s="83">
        <v>0</v>
      </c>
      <c r="L506" s="83">
        <v>0</v>
      </c>
      <c r="M506" s="83">
        <v>0</v>
      </c>
    </row>
    <row r="507">
      <c r="A507" s="3" t="s">
        <v>509</v>
      </c>
      <c r="B507" s="3"/>
      <c r="C507" s="83">
        <v>0</v>
      </c>
      <c r="D507" s="83">
        <v>0</v>
      </c>
      <c r="E507" s="83">
        <v>0</v>
      </c>
      <c r="F507" s="83">
        <v>0</v>
      </c>
      <c r="G507" s="83">
        <v>0</v>
      </c>
      <c r="H507" s="83">
        <v>0</v>
      </c>
      <c r="I507" s="83">
        <v>0</v>
      </c>
      <c r="J507" s="83">
        <v>0</v>
      </c>
      <c r="K507" s="83">
        <v>0</v>
      </c>
      <c r="L507" s="83">
        <v>0</v>
      </c>
      <c r="M507" s="83">
        <v>0</v>
      </c>
    </row>
    <row r="508">
      <c r="A508" s="3" t="s">
        <v>510</v>
      </c>
      <c r="B508" s="3"/>
      <c r="C508" s="83">
        <v>0</v>
      </c>
      <c r="D508" s="83">
        <v>0</v>
      </c>
      <c r="E508" s="83">
        <v>0</v>
      </c>
      <c r="F508" s="83">
        <v>0</v>
      </c>
      <c r="G508" s="83">
        <v>0</v>
      </c>
      <c r="H508" s="83">
        <v>0</v>
      </c>
      <c r="I508" s="83">
        <v>0</v>
      </c>
      <c r="J508" s="83">
        <v>0</v>
      </c>
      <c r="K508" s="83">
        <v>0</v>
      </c>
      <c r="L508" s="83">
        <v>0</v>
      </c>
      <c r="M508" s="83">
        <v>0</v>
      </c>
    </row>
    <row r="512">
      <c r="A512" s="22" t="s">
        <v>529</v>
      </c>
      <c r="C512" s="22" t="s">
        <v>363</v>
      </c>
      <c r="D512" s="22"/>
      <c r="E512" s="22"/>
      <c r="F512" s="22"/>
      <c r="G512" s="22"/>
      <c r="H512" s="22"/>
      <c r="I512" s="22"/>
      <c r="J512" s="22"/>
      <c r="K512" s="22"/>
      <c r="L512" s="22"/>
      <c r="M512" s="22"/>
    </row>
    <row r="513">
      <c r="A513" s="22"/>
      <c r="B513" s="3"/>
      <c r="C513" s="22">
        <v>2026</v>
      </c>
      <c r="D513" s="22">
        <v>2027</v>
      </c>
      <c r="E513" s="22">
        <v>2028</v>
      </c>
      <c r="F513" s="22">
        <v>2029</v>
      </c>
      <c r="G513" s="22">
        <v>2030</v>
      </c>
      <c r="H513" s="22">
        <v>2031</v>
      </c>
      <c r="I513" s="22">
        <v>2032</v>
      </c>
      <c r="J513" s="22">
        <v>2033</v>
      </c>
      <c r="K513" s="22">
        <v>2034</v>
      </c>
      <c r="L513" s="22">
        <v>2035</v>
      </c>
      <c r="M513" s="22">
        <v>2036</v>
      </c>
      <c r="N513" s="22" t="s">
        <v>530</v>
      </c>
    </row>
    <row r="514">
      <c r="A514" s="3" t="s">
        <v>117</v>
      </c>
      <c r="B514" s="3"/>
      <c r="C514" s="74">
        <v>0</v>
      </c>
      <c r="D514" s="74">
        <v>0</v>
      </c>
      <c r="E514" s="74">
        <v>0</v>
      </c>
      <c r="F514" s="74">
        <v>0</v>
      </c>
      <c r="G514" s="74">
        <v>0</v>
      </c>
      <c r="H514" s="74">
        <v>0</v>
      </c>
      <c r="I514" s="74">
        <v>0</v>
      </c>
      <c r="J514" s="74">
        <v>0</v>
      </c>
      <c r="K514" s="74">
        <v>0</v>
      </c>
      <c r="L514" s="74">
        <v>0</v>
      </c>
      <c r="M514" s="74">
        <v>0</v>
      </c>
      <c r="N514" s="78">
        <f>Sum(C514:M514)</f>
        <v>0</v>
      </c>
      <c r="O514" s="76" t="e">
        <f>(N514/N521)</f>
        <v>#DIV/0!</v>
      </c>
      <c r="P514" s="0" t="s">
        <v>531</v>
      </c>
    </row>
    <row r="515">
      <c r="A515" s="3" t="s">
        <v>121</v>
      </c>
      <c r="B515" s="3"/>
      <c r="C515" s="74">
        <v>0</v>
      </c>
      <c r="D515" s="74">
        <v>0</v>
      </c>
      <c r="E515" s="74">
        <v>0</v>
      </c>
      <c r="F515" s="74">
        <v>0</v>
      </c>
      <c r="G515" s="74">
        <v>0</v>
      </c>
      <c r="H515" s="74">
        <v>0</v>
      </c>
      <c r="I515" s="74">
        <v>0</v>
      </c>
      <c r="J515" s="74">
        <v>0</v>
      </c>
      <c r="K515" s="74">
        <v>0</v>
      </c>
      <c r="L515" s="74">
        <v>0</v>
      </c>
      <c r="M515" s="74">
        <v>0</v>
      </c>
      <c r="N515" s="78">
        <f>Sum(C515:M515)</f>
        <v>0</v>
      </c>
      <c r="O515" s="76" t="e">
        <f>(N515/N521)</f>
        <v>#DIV/0!</v>
      </c>
      <c r="P515" s="0" t="s">
        <v>532</v>
      </c>
    </row>
    <row r="516">
      <c r="A516" s="3" t="s">
        <v>122</v>
      </c>
      <c r="B516" s="3"/>
      <c r="C516" s="74">
        <v>0</v>
      </c>
      <c r="D516" s="74">
        <v>0</v>
      </c>
      <c r="E516" s="74">
        <v>0</v>
      </c>
      <c r="F516" s="74">
        <v>0</v>
      </c>
      <c r="G516" s="74">
        <v>0</v>
      </c>
      <c r="H516" s="74">
        <v>0</v>
      </c>
      <c r="I516" s="74">
        <v>0</v>
      </c>
      <c r="J516" s="74">
        <v>0</v>
      </c>
      <c r="K516" s="74">
        <v>0</v>
      </c>
      <c r="L516" s="74">
        <v>0</v>
      </c>
      <c r="M516" s="74">
        <v>0</v>
      </c>
      <c r="N516" s="78">
        <f>Sum(C516:M516)</f>
        <v>0</v>
      </c>
      <c r="O516" s="76" t="e">
        <f>(N516/N521)</f>
        <v>#DIV/0!</v>
      </c>
      <c r="P516" s="0" t="s">
        <v>533</v>
      </c>
    </row>
    <row r="517">
      <c r="A517" s="3" t="s">
        <v>124</v>
      </c>
      <c r="B517" s="3"/>
      <c r="C517" s="74">
        <v>0</v>
      </c>
      <c r="D517" s="74">
        <v>0</v>
      </c>
      <c r="E517" s="74">
        <v>0</v>
      </c>
      <c r="F517" s="74">
        <v>0</v>
      </c>
      <c r="G517" s="74">
        <v>0</v>
      </c>
      <c r="H517" s="74">
        <v>0</v>
      </c>
      <c r="I517" s="74">
        <v>0</v>
      </c>
      <c r="J517" s="74">
        <v>0</v>
      </c>
      <c r="K517" s="74">
        <v>0</v>
      </c>
      <c r="L517" s="74">
        <v>0</v>
      </c>
      <c r="M517" s="74">
        <v>0</v>
      </c>
      <c r="N517" s="78">
        <f>Sum(C517:M517)</f>
        <v>0</v>
      </c>
      <c r="O517" s="76" t="e">
        <f>(N517/N521)</f>
        <v>#DIV/0!</v>
      </c>
      <c r="P517" s="0" t="s">
        <v>534</v>
      </c>
    </row>
    <row r="518">
      <c r="A518" s="3" t="s">
        <v>535</v>
      </c>
      <c r="B518" s="3"/>
      <c r="C518" s="74">
        <v>0</v>
      </c>
      <c r="D518" s="74">
        <v>0</v>
      </c>
      <c r="E518" s="74">
        <v>0</v>
      </c>
      <c r="F518" s="74">
        <v>0</v>
      </c>
      <c r="G518" s="74">
        <v>0</v>
      </c>
      <c r="H518" s="74">
        <v>0</v>
      </c>
      <c r="I518" s="74">
        <v>0</v>
      </c>
      <c r="J518" s="74">
        <v>0</v>
      </c>
      <c r="K518" s="74">
        <v>0</v>
      </c>
      <c r="L518" s="74">
        <v>0</v>
      </c>
      <c r="M518" s="74">
        <v>0</v>
      </c>
      <c r="N518" s="78">
        <f>Sum(C518:M518)</f>
        <v>0</v>
      </c>
      <c r="O518" s="76" t="e">
        <f>(N518/N521)</f>
        <v>#DIV/0!</v>
      </c>
      <c r="P518" s="0" t="s">
        <v>536</v>
      </c>
    </row>
    <row r="519">
      <c r="A519" s="3" t="s">
        <v>537</v>
      </c>
      <c r="B519" s="3"/>
      <c r="C519" s="74">
        <v>0</v>
      </c>
      <c r="D519" s="74">
        <v>0</v>
      </c>
      <c r="E519" s="74">
        <v>0</v>
      </c>
      <c r="F519" s="74">
        <v>0</v>
      </c>
      <c r="G519" s="74">
        <v>0</v>
      </c>
      <c r="H519" s="74">
        <v>0</v>
      </c>
      <c r="I519" s="74">
        <v>0</v>
      </c>
      <c r="J519" s="74">
        <v>0</v>
      </c>
      <c r="K519" s="74">
        <v>0</v>
      </c>
      <c r="L519" s="74">
        <v>0</v>
      </c>
      <c r="M519" s="74">
        <v>0</v>
      </c>
      <c r="N519" s="78">
        <f>Sum(C519:M519)</f>
        <v>0</v>
      </c>
      <c r="O519" s="76" t="e">
        <f>(N519/N521)</f>
        <v>#DIV/0!</v>
      </c>
      <c r="P519" s="0" t="s">
        <v>538</v>
      </c>
    </row>
    <row r="520">
      <c r="A520" s="3" t="s">
        <v>539</v>
      </c>
      <c r="B520" s="3"/>
      <c r="C520" s="74">
        <v>0</v>
      </c>
      <c r="D520" s="74">
        <v>0</v>
      </c>
      <c r="E520" s="74">
        <v>0</v>
      </c>
      <c r="F520" s="74">
        <v>0</v>
      </c>
      <c r="G520" s="74">
        <v>0</v>
      </c>
      <c r="H520" s="74">
        <v>0</v>
      </c>
      <c r="I520" s="74">
        <v>0</v>
      </c>
      <c r="J520" s="74">
        <v>0</v>
      </c>
      <c r="K520" s="74">
        <v>0</v>
      </c>
      <c r="L520" s="74">
        <v>0</v>
      </c>
      <c r="M520" s="74">
        <v>0</v>
      </c>
      <c r="N520" s="78">
        <f>Sum(C520:M520)</f>
        <v>0</v>
      </c>
      <c r="O520" s="76" t="e">
        <f>(N520/N521)</f>
        <v>#DIV/0!</v>
      </c>
      <c r="P520" s="0" t="s">
        <v>540</v>
      </c>
    </row>
    <row r="521">
      <c r="A521" s="3" t="s">
        <v>541</v>
      </c>
      <c r="B521" s="3"/>
      <c r="C521" s="74"/>
      <c r="D521" s="74"/>
      <c r="E521" s="74"/>
      <c r="F521" s="74"/>
      <c r="G521" s="74"/>
      <c r="H521" s="74"/>
      <c r="I521" s="74"/>
      <c r="J521" s="74"/>
      <c r="K521" s="74"/>
      <c r="L521" s="74"/>
      <c r="M521" s="74"/>
      <c r="N521" s="78">
        <f>Sum(C521:M521)</f>
        <v>0</v>
      </c>
    </row>
    <row r="522">
      <c r="A522" s="3"/>
      <c r="B522" s="3"/>
      <c r="C522" s="74"/>
      <c r="D522" s="74"/>
      <c r="E522" s="74"/>
      <c r="F522" s="74"/>
      <c r="G522" s="74"/>
      <c r="H522" s="74"/>
      <c r="I522" s="74"/>
      <c r="J522" s="74"/>
      <c r="K522" s="74"/>
      <c r="L522" s="74"/>
      <c r="M522" s="74"/>
      <c r="N522" s="78"/>
    </row>
    <row r="523">
      <c r="A523" s="3" t="s">
        <v>542</v>
      </c>
      <c r="B523" s="3"/>
      <c r="C523" s="74">
        <v>0</v>
      </c>
      <c r="D523" s="74">
        <v>0</v>
      </c>
      <c r="E523" s="74">
        <v>0</v>
      </c>
      <c r="F523" s="74">
        <v>0</v>
      </c>
      <c r="G523" s="74">
        <v>0</v>
      </c>
      <c r="H523" s="74">
        <v>0</v>
      </c>
      <c r="I523" s="74">
        <v>0</v>
      </c>
      <c r="J523" s="74">
        <v>0</v>
      </c>
      <c r="K523" s="74">
        <v>0</v>
      </c>
      <c r="L523" s="74">
        <v>0</v>
      </c>
      <c r="M523" s="74">
        <v>0</v>
      </c>
      <c r="N523" s="78">
        <f>Sum(C523:M523)</f>
        <v>0</v>
      </c>
    </row>
    <row r="525">
      <c r="A525" s="22" t="s">
        <v>543</v>
      </c>
      <c r="C525" s="22" t="s">
        <v>363</v>
      </c>
      <c r="D525" s="22"/>
      <c r="E525" s="22"/>
      <c r="F525" s="22"/>
      <c r="G525" s="22"/>
      <c r="H525" s="22"/>
      <c r="I525" s="22"/>
      <c r="J525" s="22"/>
      <c r="K525" s="22"/>
      <c r="L525" s="22"/>
      <c r="M525" s="22"/>
    </row>
    <row r="526">
      <c r="A526" s="22"/>
      <c r="C526" s="22">
        <v>2026</v>
      </c>
      <c r="D526" s="22">
        <v>2027</v>
      </c>
      <c r="E526" s="22">
        <v>2028</v>
      </c>
      <c r="F526" s="22">
        <v>2029</v>
      </c>
      <c r="G526" s="22">
        <v>2030</v>
      </c>
      <c r="H526" s="22">
        <v>2031</v>
      </c>
      <c r="I526" s="22">
        <v>2032</v>
      </c>
      <c r="J526" s="22">
        <v>2033</v>
      </c>
      <c r="K526" s="22">
        <v>2034</v>
      </c>
      <c r="L526" s="22">
        <v>2035</v>
      </c>
      <c r="M526" s="22">
        <v>2036</v>
      </c>
    </row>
    <row r="527">
      <c r="A527" s="3"/>
      <c r="B527" s="3"/>
      <c r="C527" s="74"/>
      <c r="D527" s="74"/>
      <c r="E527" s="74"/>
      <c r="F527" s="74"/>
      <c r="G527" s="74"/>
      <c r="H527" s="74"/>
      <c r="I527" s="74"/>
      <c r="J527" s="74"/>
      <c r="K527" s="74"/>
      <c r="L527" s="74"/>
      <c r="M527" s="74"/>
      <c r="N527" s="78">
        <f>Sum(C527:M527)</f>
        <v>0</v>
      </c>
    </row>
    <row r="530">
      <c r="A530" s="22" t="s">
        <v>473</v>
      </c>
      <c r="C530" s="22" t="s">
        <v>544</v>
      </c>
      <c r="D530" s="22"/>
      <c r="E530" s="22"/>
      <c r="F530" s="22"/>
      <c r="G530" s="22"/>
      <c r="H530" s="22"/>
      <c r="I530" s="22"/>
      <c r="J530" s="22"/>
      <c r="K530" s="22"/>
      <c r="L530" s="22"/>
      <c r="M530" s="22"/>
    </row>
    <row r="531">
      <c r="A531" s="22"/>
      <c r="C531" s="22">
        <v>2026</v>
      </c>
      <c r="D531" s="22">
        <v>2027</v>
      </c>
      <c r="E531" s="22">
        <v>2028</v>
      </c>
      <c r="F531" s="22">
        <v>2029</v>
      </c>
      <c r="G531" s="22">
        <v>2030</v>
      </c>
      <c r="H531" s="22">
        <v>2031</v>
      </c>
      <c r="I531" s="22">
        <v>2032</v>
      </c>
      <c r="J531" s="22">
        <v>2033</v>
      </c>
      <c r="K531" s="22">
        <v>2034</v>
      </c>
      <c r="L531" s="22">
        <v>2035</v>
      </c>
      <c r="M531" s="22">
        <v>2036</v>
      </c>
    </row>
    <row r="532">
      <c r="A532" s="3" t="s">
        <v>545</v>
      </c>
      <c r="B532" s="3"/>
      <c r="C532" s="90">
        <v>0</v>
      </c>
      <c r="D532" s="90">
        <v>0</v>
      </c>
      <c r="E532" s="90">
        <v>0</v>
      </c>
      <c r="F532" s="90">
        <v>0</v>
      </c>
      <c r="G532" s="90">
        <v>0</v>
      </c>
      <c r="H532" s="90">
        <v>0</v>
      </c>
      <c r="I532" s="90">
        <v>0</v>
      </c>
      <c r="J532" s="90">
        <v>0</v>
      </c>
      <c r="K532" s="90">
        <v>0</v>
      </c>
      <c r="L532" s="90">
        <v>0</v>
      </c>
      <c r="M532" s="90">
        <v>0</v>
      </c>
    </row>
    <row r="533">
      <c r="A533" s="3" t="s">
        <v>546</v>
      </c>
      <c r="B533" s="3"/>
      <c r="C533" s="90">
        <v>0</v>
      </c>
      <c r="D533" s="90">
        <v>0</v>
      </c>
      <c r="E533" s="90">
        <v>0</v>
      </c>
      <c r="F533" s="90">
        <v>0</v>
      </c>
      <c r="G533" s="90">
        <v>0</v>
      </c>
      <c r="H533" s="90">
        <v>0</v>
      </c>
      <c r="I533" s="90">
        <v>0</v>
      </c>
      <c r="J533" s="90">
        <v>0</v>
      </c>
      <c r="K533" s="90">
        <v>0</v>
      </c>
      <c r="L533" s="90">
        <v>0</v>
      </c>
      <c r="M533" s="90">
        <v>0</v>
      </c>
    </row>
    <row r="534">
      <c r="A534" s="3" t="s">
        <v>547</v>
      </c>
      <c r="B534" s="3"/>
      <c r="C534" s="90">
        <v>0</v>
      </c>
      <c r="D534" s="90">
        <v>0</v>
      </c>
      <c r="E534" s="90">
        <v>0</v>
      </c>
      <c r="F534" s="90">
        <v>0</v>
      </c>
      <c r="G534" s="90">
        <v>0</v>
      </c>
      <c r="H534" s="90">
        <v>0</v>
      </c>
      <c r="I534" s="90">
        <v>0</v>
      </c>
      <c r="J534" s="90">
        <v>0</v>
      </c>
      <c r="K534" s="90">
        <v>0</v>
      </c>
      <c r="L534" s="90">
        <v>0</v>
      </c>
      <c r="M534" s="90">
        <v>0</v>
      </c>
    </row>
    <row r="535">
      <c r="A535" s="3" t="s">
        <v>548</v>
      </c>
      <c r="B535" s="3"/>
      <c r="C535" s="90">
        <v>0</v>
      </c>
      <c r="D535" s="90">
        <v>0</v>
      </c>
      <c r="E535" s="90">
        <v>0</v>
      </c>
      <c r="F535" s="90">
        <v>0</v>
      </c>
      <c r="G535" s="90">
        <v>0</v>
      </c>
      <c r="H535" s="90">
        <v>0</v>
      </c>
      <c r="I535" s="90">
        <v>0</v>
      </c>
      <c r="J535" s="90">
        <v>0</v>
      </c>
      <c r="K535" s="90">
        <v>0</v>
      </c>
      <c r="L535" s="90">
        <v>0</v>
      </c>
      <c r="M535" s="90">
        <v>0</v>
      </c>
    </row>
    <row r="536">
      <c r="A536" s="3" t="s">
        <v>549</v>
      </c>
      <c r="B536" s="3"/>
      <c r="C536" s="90">
        <v>0</v>
      </c>
      <c r="D536" s="90">
        <v>0</v>
      </c>
      <c r="E536" s="90">
        <v>0</v>
      </c>
      <c r="F536" s="90">
        <v>0</v>
      </c>
      <c r="G536" s="90">
        <v>0</v>
      </c>
      <c r="H536" s="90">
        <v>0</v>
      </c>
      <c r="I536" s="90">
        <v>0</v>
      </c>
      <c r="J536" s="90">
        <v>0</v>
      </c>
      <c r="K536" s="90">
        <v>0</v>
      </c>
      <c r="L536" s="90">
        <v>0</v>
      </c>
      <c r="M536" s="90">
        <v>0</v>
      </c>
    </row>
    <row r="537">
      <c r="A537" s="3" t="s">
        <v>550</v>
      </c>
      <c r="B537" s="3"/>
      <c r="C537" s="90">
        <v>0</v>
      </c>
      <c r="D537" s="90">
        <v>0</v>
      </c>
      <c r="E537" s="90">
        <v>0</v>
      </c>
      <c r="F537" s="90">
        <v>0</v>
      </c>
      <c r="G537" s="90">
        <v>0</v>
      </c>
      <c r="H537" s="90">
        <v>0</v>
      </c>
      <c r="I537" s="90">
        <v>0</v>
      </c>
      <c r="J537" s="90">
        <v>0</v>
      </c>
      <c r="K537" s="90">
        <v>0</v>
      </c>
      <c r="L537" s="90">
        <v>0</v>
      </c>
      <c r="M537" s="90">
        <v>0</v>
      </c>
    </row>
    <row r="538">
      <c r="A538" s="3" t="s">
        <v>551</v>
      </c>
      <c r="B538" s="3"/>
      <c r="C538" s="90">
        <v>0</v>
      </c>
      <c r="D538" s="90">
        <v>0</v>
      </c>
      <c r="E538" s="90"/>
      <c r="F538" s="90">
        <v>0</v>
      </c>
      <c r="G538" s="90"/>
      <c r="H538" s="90">
        <v>0</v>
      </c>
      <c r="I538" s="90"/>
      <c r="J538" s="90"/>
      <c r="K538" s="90"/>
      <c r="L538" s="90"/>
      <c r="M538" s="90">
        <v>0</v>
      </c>
    </row>
    <row r="540">
      <c r="A540" s="25" t="s">
        <v>143</v>
      </c>
      <c r="B540" s="25"/>
      <c r="C540" s="25"/>
      <c r="D540" s="25"/>
      <c r="E540" s="25"/>
      <c r="F540" s="25"/>
      <c r="G540" s="25"/>
      <c r="H540" s="25"/>
      <c r="I540" s="25"/>
      <c r="J540" s="25"/>
      <c r="K540" s="25"/>
      <c r="L540" s="24"/>
      <c r="M540" s="24"/>
    </row>
    <row r="543">
      <c r="A543" s="22" t="s">
        <v>363</v>
      </c>
      <c r="C543" s="22" t="s">
        <v>502</v>
      </c>
      <c r="D543" s="22"/>
      <c r="E543" s="22"/>
      <c r="F543" s="22"/>
      <c r="G543" s="22"/>
      <c r="H543" s="22"/>
      <c r="I543" s="22"/>
      <c r="J543" s="22"/>
      <c r="K543" s="22"/>
      <c r="L543" s="22"/>
      <c r="M543" s="22"/>
    </row>
    <row r="544">
      <c r="A544" s="22"/>
      <c r="C544" s="22">
        <v>2026</v>
      </c>
      <c r="D544" s="22">
        <v>2027</v>
      </c>
      <c r="E544" s="22">
        <v>2028</v>
      </c>
      <c r="F544" s="22">
        <v>2029</v>
      </c>
      <c r="G544" s="22">
        <v>2030</v>
      </c>
      <c r="H544" s="22">
        <v>2031</v>
      </c>
      <c r="I544" s="22">
        <v>2032</v>
      </c>
      <c r="J544" s="22">
        <v>2033</v>
      </c>
      <c r="K544" s="22">
        <v>2034</v>
      </c>
      <c r="L544" s="22">
        <v>2035</v>
      </c>
      <c r="M544" s="22">
        <v>2036</v>
      </c>
    </row>
    <row r="545">
      <c r="A545" s="3" t="s">
        <v>504</v>
      </c>
      <c r="B545" s="3"/>
      <c r="C545" s="82">
        <v>0</v>
      </c>
      <c r="D545" s="82">
        <v>0</v>
      </c>
      <c r="E545" s="82">
        <v>0</v>
      </c>
      <c r="F545" s="82">
        <v>0</v>
      </c>
      <c r="G545" s="82">
        <v>0</v>
      </c>
      <c r="H545" s="82">
        <v>0</v>
      </c>
      <c r="I545" s="82">
        <v>0</v>
      </c>
      <c r="J545" s="82">
        <v>0</v>
      </c>
      <c r="K545" s="82">
        <v>0</v>
      </c>
      <c r="L545" s="82">
        <v>0</v>
      </c>
      <c r="M545" s="82">
        <v>0</v>
      </c>
    </row>
    <row r="546">
      <c r="A546" s="3" t="s">
        <v>506</v>
      </c>
      <c r="B546" s="3"/>
      <c r="C546" s="83">
        <v>0</v>
      </c>
      <c r="D546" s="83">
        <v>0</v>
      </c>
      <c r="E546" s="83">
        <v>0</v>
      </c>
      <c r="F546" s="83">
        <v>0</v>
      </c>
      <c r="G546" s="83">
        <v>0</v>
      </c>
      <c r="H546" s="83">
        <v>0</v>
      </c>
      <c r="I546" s="83">
        <v>0</v>
      </c>
      <c r="J546" s="83">
        <v>0</v>
      </c>
      <c r="K546" s="83">
        <v>0</v>
      </c>
      <c r="L546" s="83">
        <v>0</v>
      </c>
      <c r="M546" s="83">
        <v>0</v>
      </c>
    </row>
    <row r="547">
      <c r="A547" s="3" t="s">
        <v>507</v>
      </c>
      <c r="B547" s="3"/>
      <c r="C547" s="83">
        <v>0</v>
      </c>
      <c r="D547" s="83">
        <v>0</v>
      </c>
      <c r="E547" s="83">
        <v>0</v>
      </c>
      <c r="F547" s="83">
        <v>0</v>
      </c>
      <c r="G547" s="83">
        <v>0</v>
      </c>
      <c r="H547" s="83">
        <v>0</v>
      </c>
      <c r="I547" s="83">
        <v>0</v>
      </c>
      <c r="J547" s="83">
        <v>0</v>
      </c>
      <c r="K547" s="83">
        <v>0</v>
      </c>
      <c r="L547" s="83">
        <v>0</v>
      </c>
      <c r="M547" s="83">
        <v>0</v>
      </c>
    </row>
    <row r="548">
      <c r="A548" s="3" t="s">
        <v>508</v>
      </c>
      <c r="B548" s="3"/>
      <c r="C548" s="83">
        <v>0</v>
      </c>
      <c r="D548" s="83">
        <v>0</v>
      </c>
      <c r="E548" s="83">
        <v>0</v>
      </c>
      <c r="F548" s="83">
        <v>0</v>
      </c>
      <c r="G548" s="83">
        <v>0</v>
      </c>
      <c r="H548" s="83">
        <v>0</v>
      </c>
      <c r="I548" s="83">
        <v>0</v>
      </c>
      <c r="J548" s="83">
        <v>0</v>
      </c>
      <c r="K548" s="83">
        <v>0</v>
      </c>
      <c r="L548" s="83">
        <v>0</v>
      </c>
      <c r="M548" s="83">
        <v>0</v>
      </c>
    </row>
    <row r="549">
      <c r="A549" s="3" t="s">
        <v>509</v>
      </c>
      <c r="B549" s="3"/>
      <c r="C549" s="83">
        <v>0</v>
      </c>
      <c r="D549" s="83">
        <v>0</v>
      </c>
      <c r="E549" s="83">
        <v>0</v>
      </c>
      <c r="F549" s="83">
        <v>0</v>
      </c>
      <c r="G549" s="83">
        <v>0</v>
      </c>
      <c r="H549" s="83">
        <v>0</v>
      </c>
      <c r="I549" s="83">
        <v>0</v>
      </c>
      <c r="J549" s="83">
        <v>0</v>
      </c>
      <c r="K549" s="83">
        <v>0</v>
      </c>
      <c r="L549" s="83">
        <v>0</v>
      </c>
      <c r="M549" s="83">
        <v>0</v>
      </c>
    </row>
    <row r="550">
      <c r="A550" s="3" t="s">
        <v>510</v>
      </c>
      <c r="B550" s="3"/>
      <c r="C550" s="83">
        <v>0</v>
      </c>
      <c r="D550" s="83">
        <v>0</v>
      </c>
      <c r="E550" s="83">
        <v>0</v>
      </c>
      <c r="F550" s="83">
        <v>0</v>
      </c>
      <c r="G550" s="83">
        <v>0</v>
      </c>
      <c r="H550" s="83">
        <v>0</v>
      </c>
      <c r="I550" s="83">
        <v>0</v>
      </c>
      <c r="J550" s="83">
        <v>0</v>
      </c>
      <c r="K550" s="83">
        <v>0</v>
      </c>
      <c r="L550" s="83">
        <v>0</v>
      </c>
      <c r="M550" s="83">
        <v>0</v>
      </c>
    </row>
    <row r="554">
      <c r="A554" s="22" t="s">
        <v>529</v>
      </c>
      <c r="C554" s="22" t="s">
        <v>363</v>
      </c>
      <c r="D554" s="22"/>
      <c r="E554" s="22"/>
      <c r="F554" s="22"/>
      <c r="G554" s="22"/>
      <c r="H554" s="22"/>
      <c r="I554" s="22"/>
      <c r="J554" s="22"/>
      <c r="K554" s="22"/>
      <c r="L554" s="22"/>
      <c r="M554" s="22"/>
    </row>
    <row r="555">
      <c r="A555" s="22"/>
      <c r="B555" s="3"/>
      <c r="C555" s="22">
        <v>2026</v>
      </c>
      <c r="D555" s="22">
        <v>2027</v>
      </c>
      <c r="E555" s="22">
        <v>2028</v>
      </c>
      <c r="F555" s="22">
        <v>2029</v>
      </c>
      <c r="G555" s="22">
        <v>2030</v>
      </c>
      <c r="H555" s="22">
        <v>2031</v>
      </c>
      <c r="I555" s="22">
        <v>2032</v>
      </c>
      <c r="J555" s="22">
        <v>2033</v>
      </c>
      <c r="K555" s="22">
        <v>2034</v>
      </c>
      <c r="L555" s="22">
        <v>2035</v>
      </c>
      <c r="M555" s="22">
        <v>2036</v>
      </c>
      <c r="N555" s="22" t="s">
        <v>530</v>
      </c>
    </row>
    <row r="556">
      <c r="A556" s="3" t="s">
        <v>117</v>
      </c>
      <c r="B556" s="3"/>
      <c r="C556" s="74">
        <v>0</v>
      </c>
      <c r="D556" s="74">
        <v>0</v>
      </c>
      <c r="E556" s="74">
        <v>0</v>
      </c>
      <c r="F556" s="74">
        <v>0</v>
      </c>
      <c r="G556" s="74">
        <v>0</v>
      </c>
      <c r="H556" s="74">
        <v>0</v>
      </c>
      <c r="I556" s="74">
        <v>0</v>
      </c>
      <c r="J556" s="74">
        <v>0</v>
      </c>
      <c r="K556" s="74">
        <v>0</v>
      </c>
      <c r="L556" s="74">
        <v>0</v>
      </c>
      <c r="M556" s="74">
        <v>0</v>
      </c>
      <c r="N556" s="78">
        <f>Sum(C556:M556)</f>
        <v>0</v>
      </c>
      <c r="O556" s="76" t="e">
        <f>(N556/N563)</f>
        <v>#DIV/0!</v>
      </c>
      <c r="P556" s="0" t="s">
        <v>531</v>
      </c>
    </row>
    <row r="557">
      <c r="A557" s="3" t="s">
        <v>121</v>
      </c>
      <c r="B557" s="3"/>
      <c r="C557" s="74">
        <v>0</v>
      </c>
      <c r="D557" s="74">
        <v>0</v>
      </c>
      <c r="E557" s="74">
        <v>0</v>
      </c>
      <c r="F557" s="74">
        <v>0</v>
      </c>
      <c r="G557" s="74">
        <v>0</v>
      </c>
      <c r="H557" s="74">
        <v>0</v>
      </c>
      <c r="I557" s="74">
        <v>0</v>
      </c>
      <c r="J557" s="74">
        <v>0</v>
      </c>
      <c r="K557" s="74">
        <v>0</v>
      </c>
      <c r="L557" s="74">
        <v>0</v>
      </c>
      <c r="M557" s="74">
        <v>0</v>
      </c>
      <c r="N557" s="78">
        <f>Sum(C557:M557)</f>
        <v>0</v>
      </c>
      <c r="O557" s="76" t="e">
        <f>(N557/N563)</f>
        <v>#DIV/0!</v>
      </c>
      <c r="P557" s="0" t="s">
        <v>532</v>
      </c>
    </row>
    <row r="558">
      <c r="A558" s="3" t="s">
        <v>122</v>
      </c>
      <c r="B558" s="3"/>
      <c r="C558" s="74">
        <v>0</v>
      </c>
      <c r="D558" s="74">
        <v>0</v>
      </c>
      <c r="E558" s="74">
        <v>0</v>
      </c>
      <c r="F558" s="74">
        <v>0</v>
      </c>
      <c r="G558" s="74">
        <v>0</v>
      </c>
      <c r="H558" s="74">
        <v>0</v>
      </c>
      <c r="I558" s="74">
        <v>0</v>
      </c>
      <c r="J558" s="74">
        <v>0</v>
      </c>
      <c r="K558" s="74">
        <v>0</v>
      </c>
      <c r="L558" s="74">
        <v>0</v>
      </c>
      <c r="M558" s="74">
        <v>0</v>
      </c>
      <c r="N558" s="78">
        <f>Sum(C558:M558)</f>
        <v>0</v>
      </c>
      <c r="O558" s="76" t="e">
        <f>(N558/N563)</f>
        <v>#DIV/0!</v>
      </c>
      <c r="P558" s="0" t="s">
        <v>533</v>
      </c>
    </row>
    <row r="559">
      <c r="A559" s="3" t="s">
        <v>124</v>
      </c>
      <c r="B559" s="3"/>
      <c r="C559" s="74">
        <v>0</v>
      </c>
      <c r="D559" s="74">
        <v>0</v>
      </c>
      <c r="E559" s="74">
        <v>0</v>
      </c>
      <c r="F559" s="74">
        <v>0</v>
      </c>
      <c r="G559" s="74">
        <v>0</v>
      </c>
      <c r="H559" s="74">
        <v>0</v>
      </c>
      <c r="I559" s="74">
        <v>0</v>
      </c>
      <c r="J559" s="74">
        <v>0</v>
      </c>
      <c r="K559" s="74">
        <v>0</v>
      </c>
      <c r="L559" s="74">
        <v>0</v>
      </c>
      <c r="M559" s="74">
        <v>0</v>
      </c>
      <c r="N559" s="78">
        <f>Sum(C559:M559)</f>
        <v>0</v>
      </c>
      <c r="O559" s="76" t="e">
        <f>(N559/N563)</f>
        <v>#DIV/0!</v>
      </c>
      <c r="P559" s="0" t="s">
        <v>534</v>
      </c>
    </row>
    <row r="560">
      <c r="A560" s="3" t="s">
        <v>535</v>
      </c>
      <c r="B560" s="3"/>
      <c r="C560" s="74">
        <v>0</v>
      </c>
      <c r="D560" s="74">
        <v>0</v>
      </c>
      <c r="E560" s="74">
        <v>0</v>
      </c>
      <c r="F560" s="74">
        <v>0</v>
      </c>
      <c r="G560" s="74">
        <v>0</v>
      </c>
      <c r="H560" s="74">
        <v>0</v>
      </c>
      <c r="I560" s="74">
        <v>0</v>
      </c>
      <c r="J560" s="74">
        <v>0</v>
      </c>
      <c r="K560" s="74">
        <v>0</v>
      </c>
      <c r="L560" s="74">
        <v>0</v>
      </c>
      <c r="M560" s="74">
        <v>0</v>
      </c>
      <c r="N560" s="78">
        <f>Sum(C560:M560)</f>
        <v>0</v>
      </c>
      <c r="O560" s="76" t="e">
        <f>(N560/N563)</f>
        <v>#DIV/0!</v>
      </c>
      <c r="P560" s="0" t="s">
        <v>536</v>
      </c>
    </row>
    <row r="561">
      <c r="A561" s="3" t="s">
        <v>537</v>
      </c>
      <c r="B561" s="3"/>
      <c r="C561" s="74">
        <v>0</v>
      </c>
      <c r="D561" s="74">
        <v>0</v>
      </c>
      <c r="E561" s="74">
        <v>0</v>
      </c>
      <c r="F561" s="74">
        <v>0</v>
      </c>
      <c r="G561" s="74">
        <v>0</v>
      </c>
      <c r="H561" s="74">
        <v>0</v>
      </c>
      <c r="I561" s="74">
        <v>0</v>
      </c>
      <c r="J561" s="74">
        <v>0</v>
      </c>
      <c r="K561" s="74">
        <v>0</v>
      </c>
      <c r="L561" s="74">
        <v>0</v>
      </c>
      <c r="M561" s="74">
        <v>0</v>
      </c>
      <c r="N561" s="78">
        <f>Sum(C561:M561)</f>
        <v>0</v>
      </c>
      <c r="O561" s="76" t="e">
        <f>(N561/N563)</f>
        <v>#DIV/0!</v>
      </c>
      <c r="P561" s="0" t="s">
        <v>538</v>
      </c>
    </row>
    <row r="562">
      <c r="A562" s="3" t="s">
        <v>539</v>
      </c>
      <c r="B562" s="3"/>
      <c r="C562" s="74">
        <v>0</v>
      </c>
      <c r="D562" s="74">
        <v>0</v>
      </c>
      <c r="E562" s="74">
        <v>0</v>
      </c>
      <c r="F562" s="74">
        <v>0</v>
      </c>
      <c r="G562" s="74">
        <v>0</v>
      </c>
      <c r="H562" s="74">
        <v>0</v>
      </c>
      <c r="I562" s="74">
        <v>0</v>
      </c>
      <c r="J562" s="74">
        <v>0</v>
      </c>
      <c r="K562" s="74">
        <v>0</v>
      </c>
      <c r="L562" s="74">
        <v>0</v>
      </c>
      <c r="M562" s="74">
        <v>0</v>
      </c>
      <c r="N562" s="78">
        <f>Sum(C562:M562)</f>
        <v>0</v>
      </c>
      <c r="O562" s="76" t="e">
        <f>(N562/N563)</f>
        <v>#DIV/0!</v>
      </c>
      <c r="P562" s="0" t="s">
        <v>540</v>
      </c>
    </row>
    <row r="563">
      <c r="A563" s="3" t="s">
        <v>541</v>
      </c>
      <c r="B563" s="3"/>
      <c r="C563" s="74"/>
      <c r="D563" s="74"/>
      <c r="E563" s="74"/>
      <c r="F563" s="74"/>
      <c r="G563" s="74"/>
      <c r="H563" s="74"/>
      <c r="I563" s="74"/>
      <c r="J563" s="74"/>
      <c r="K563" s="74"/>
      <c r="L563" s="74"/>
      <c r="M563" s="74"/>
      <c r="N563" s="78">
        <f>Sum(C563:M563)</f>
        <v>0</v>
      </c>
    </row>
    <row r="564">
      <c r="A564" s="3"/>
      <c r="B564" s="3"/>
      <c r="C564" s="74"/>
      <c r="D564" s="74"/>
      <c r="E564" s="74"/>
      <c r="F564" s="74"/>
      <c r="G564" s="74"/>
      <c r="H564" s="74"/>
      <c r="I564" s="74"/>
      <c r="J564" s="74"/>
      <c r="K564" s="74"/>
      <c r="L564" s="74"/>
      <c r="M564" s="74"/>
      <c r="N564" s="78"/>
    </row>
    <row r="565">
      <c r="A565" s="3" t="s">
        <v>542</v>
      </c>
      <c r="B565" s="3"/>
      <c r="C565" s="74">
        <v>0</v>
      </c>
      <c r="D565" s="74">
        <v>0</v>
      </c>
      <c r="E565" s="74">
        <v>0</v>
      </c>
      <c r="F565" s="74">
        <v>0</v>
      </c>
      <c r="G565" s="74">
        <v>0</v>
      </c>
      <c r="H565" s="74">
        <v>0</v>
      </c>
      <c r="I565" s="74">
        <v>0</v>
      </c>
      <c r="J565" s="74">
        <v>0</v>
      </c>
      <c r="K565" s="74">
        <v>0</v>
      </c>
      <c r="L565" s="74">
        <v>0</v>
      </c>
      <c r="M565" s="74">
        <v>0</v>
      </c>
      <c r="N565" s="78">
        <f>Sum(C565:M565)</f>
        <v>0</v>
      </c>
    </row>
    <row r="567">
      <c r="A567" s="22" t="s">
        <v>543</v>
      </c>
      <c r="C567" s="22" t="s">
        <v>363</v>
      </c>
      <c r="D567" s="22"/>
      <c r="E567" s="22"/>
      <c r="F567" s="22"/>
      <c r="G567" s="22"/>
      <c r="H567" s="22"/>
      <c r="I567" s="22"/>
      <c r="J567" s="22"/>
      <c r="K567" s="22"/>
      <c r="L567" s="22"/>
      <c r="M567" s="22"/>
    </row>
    <row r="568">
      <c r="A568" s="22"/>
      <c r="C568" s="22">
        <v>2026</v>
      </c>
      <c r="D568" s="22">
        <v>2027</v>
      </c>
      <c r="E568" s="22">
        <v>2028</v>
      </c>
      <c r="F568" s="22">
        <v>2029</v>
      </c>
      <c r="G568" s="22">
        <v>2030</v>
      </c>
      <c r="H568" s="22">
        <v>2031</v>
      </c>
      <c r="I568" s="22">
        <v>2032</v>
      </c>
      <c r="J568" s="22">
        <v>2033</v>
      </c>
      <c r="K568" s="22">
        <v>2034</v>
      </c>
      <c r="L568" s="22">
        <v>2035</v>
      </c>
      <c r="M568" s="22">
        <v>2036</v>
      </c>
    </row>
    <row r="569">
      <c r="A569" s="3"/>
      <c r="B569" s="3"/>
      <c r="C569" s="74"/>
      <c r="D569" s="74"/>
      <c r="E569" s="74"/>
      <c r="F569" s="74"/>
      <c r="G569" s="74"/>
      <c r="H569" s="74"/>
      <c r="I569" s="74"/>
      <c r="J569" s="74"/>
      <c r="K569" s="74"/>
      <c r="L569" s="74"/>
      <c r="M569" s="74"/>
      <c r="N569" s="78">
        <f>Sum(C569:M569)</f>
        <v>0</v>
      </c>
    </row>
    <row r="572">
      <c r="A572" s="22" t="s">
        <v>473</v>
      </c>
      <c r="C572" s="22" t="s">
        <v>544</v>
      </c>
      <c r="D572" s="22"/>
      <c r="E572" s="22"/>
      <c r="F572" s="22"/>
      <c r="G572" s="22"/>
      <c r="H572" s="22"/>
      <c r="I572" s="22"/>
      <c r="J572" s="22"/>
      <c r="K572" s="22"/>
      <c r="L572" s="22"/>
      <c r="M572" s="22"/>
    </row>
    <row r="573">
      <c r="A573" s="22"/>
      <c r="C573" s="22">
        <v>2026</v>
      </c>
      <c r="D573" s="22">
        <v>2027</v>
      </c>
      <c r="E573" s="22">
        <v>2028</v>
      </c>
      <c r="F573" s="22">
        <v>2029</v>
      </c>
      <c r="G573" s="22">
        <v>2030</v>
      </c>
      <c r="H573" s="22">
        <v>2031</v>
      </c>
      <c r="I573" s="22">
        <v>2032</v>
      </c>
      <c r="J573" s="22">
        <v>2033</v>
      </c>
      <c r="K573" s="22">
        <v>2034</v>
      </c>
      <c r="L573" s="22">
        <v>2035</v>
      </c>
      <c r="M573" s="22">
        <v>2036</v>
      </c>
    </row>
    <row r="574">
      <c r="A574" s="3" t="s">
        <v>545</v>
      </c>
      <c r="B574" s="3"/>
      <c r="C574" s="90">
        <v>0</v>
      </c>
      <c r="D574" s="90">
        <v>0</v>
      </c>
      <c r="E574" s="90">
        <v>0</v>
      </c>
      <c r="F574" s="90">
        <v>0</v>
      </c>
      <c r="G574" s="90">
        <v>0</v>
      </c>
      <c r="H574" s="90">
        <v>0</v>
      </c>
      <c r="I574" s="90">
        <v>0</v>
      </c>
      <c r="J574" s="90">
        <v>0</v>
      </c>
      <c r="K574" s="90">
        <v>0</v>
      </c>
      <c r="L574" s="90">
        <v>0</v>
      </c>
      <c r="M574" s="90">
        <v>0</v>
      </c>
    </row>
    <row r="575">
      <c r="A575" s="3" t="s">
        <v>546</v>
      </c>
      <c r="B575" s="3"/>
      <c r="C575" s="90">
        <v>0</v>
      </c>
      <c r="D575" s="90">
        <v>0</v>
      </c>
      <c r="E575" s="90">
        <v>0</v>
      </c>
      <c r="F575" s="90">
        <v>0</v>
      </c>
      <c r="G575" s="90">
        <v>0</v>
      </c>
      <c r="H575" s="90">
        <v>0</v>
      </c>
      <c r="I575" s="90">
        <v>0</v>
      </c>
      <c r="J575" s="90">
        <v>0</v>
      </c>
      <c r="K575" s="90">
        <v>0</v>
      </c>
      <c r="L575" s="90">
        <v>0</v>
      </c>
      <c r="M575" s="90">
        <v>0</v>
      </c>
    </row>
    <row r="576">
      <c r="A576" s="3" t="s">
        <v>547</v>
      </c>
      <c r="B576" s="3"/>
      <c r="C576" s="90">
        <v>0</v>
      </c>
      <c r="D576" s="90">
        <v>0</v>
      </c>
      <c r="E576" s="90">
        <v>0</v>
      </c>
      <c r="F576" s="90">
        <v>0</v>
      </c>
      <c r="G576" s="90">
        <v>0</v>
      </c>
      <c r="H576" s="90">
        <v>0</v>
      </c>
      <c r="I576" s="90">
        <v>0</v>
      </c>
      <c r="J576" s="90">
        <v>0</v>
      </c>
      <c r="K576" s="90">
        <v>0</v>
      </c>
      <c r="L576" s="90">
        <v>0</v>
      </c>
      <c r="M576" s="90">
        <v>0</v>
      </c>
    </row>
    <row r="577">
      <c r="A577" s="3" t="s">
        <v>548</v>
      </c>
      <c r="B577" s="3"/>
      <c r="C577" s="90">
        <v>0</v>
      </c>
      <c r="D577" s="90">
        <v>0</v>
      </c>
      <c r="E577" s="90">
        <v>0</v>
      </c>
      <c r="F577" s="90">
        <v>0</v>
      </c>
      <c r="G577" s="90">
        <v>0</v>
      </c>
      <c r="H577" s="90">
        <v>0</v>
      </c>
      <c r="I577" s="90">
        <v>0</v>
      </c>
      <c r="J577" s="90">
        <v>0</v>
      </c>
      <c r="K577" s="90">
        <v>0</v>
      </c>
      <c r="L577" s="90">
        <v>0</v>
      </c>
      <c r="M577" s="90">
        <v>0</v>
      </c>
    </row>
    <row r="578">
      <c r="A578" s="3" t="s">
        <v>549</v>
      </c>
      <c r="B578" s="3"/>
      <c r="C578" s="90">
        <v>0</v>
      </c>
      <c r="D578" s="90">
        <v>0</v>
      </c>
      <c r="E578" s="90">
        <v>0</v>
      </c>
      <c r="F578" s="90">
        <v>0</v>
      </c>
      <c r="G578" s="90">
        <v>0</v>
      </c>
      <c r="H578" s="90">
        <v>0</v>
      </c>
      <c r="I578" s="90">
        <v>0</v>
      </c>
      <c r="J578" s="90">
        <v>0</v>
      </c>
      <c r="K578" s="90">
        <v>0</v>
      </c>
      <c r="L578" s="90">
        <v>0</v>
      </c>
      <c r="M578" s="90">
        <v>0</v>
      </c>
    </row>
    <row r="579">
      <c r="A579" s="3" t="s">
        <v>550</v>
      </c>
      <c r="B579" s="3"/>
      <c r="C579" s="90">
        <v>0</v>
      </c>
      <c r="D579" s="90">
        <v>0</v>
      </c>
      <c r="E579" s="90">
        <v>0</v>
      </c>
      <c r="F579" s="90">
        <v>0</v>
      </c>
      <c r="G579" s="90">
        <v>0</v>
      </c>
      <c r="H579" s="90">
        <v>0</v>
      </c>
      <c r="I579" s="90">
        <v>0</v>
      </c>
      <c r="J579" s="90">
        <v>0</v>
      </c>
      <c r="K579" s="90">
        <v>0</v>
      </c>
      <c r="L579" s="90">
        <v>0</v>
      </c>
      <c r="M579" s="90">
        <v>0</v>
      </c>
    </row>
    <row r="580">
      <c r="A580" s="3" t="s">
        <v>551</v>
      </c>
      <c r="B580" s="3"/>
      <c r="C580" s="90">
        <v>0</v>
      </c>
      <c r="D580" s="90">
        <v>0</v>
      </c>
      <c r="E580" s="90"/>
      <c r="F580" s="90">
        <v>0</v>
      </c>
      <c r="G580" s="90"/>
      <c r="H580" s="90">
        <v>0</v>
      </c>
      <c r="I580" s="90"/>
      <c r="J580" s="90"/>
      <c r="K580" s="90"/>
      <c r="L580" s="90"/>
      <c r="M580" s="90">
        <v>0</v>
      </c>
    </row>
    <row r="582">
      <c r="A582" s="25" t="s">
        <v>144</v>
      </c>
      <c r="B582" s="25"/>
      <c r="C582" s="25"/>
      <c r="D582" s="25"/>
      <c r="E582" s="25"/>
      <c r="F582" s="25"/>
      <c r="G582" s="25"/>
      <c r="H582" s="25"/>
      <c r="I582" s="25"/>
      <c r="J582" s="25"/>
      <c r="K582" s="25"/>
      <c r="L582" s="24"/>
      <c r="M582" s="24"/>
    </row>
    <row r="585">
      <c r="A585" s="22" t="s">
        <v>363</v>
      </c>
      <c r="C585" s="22" t="s">
        <v>502</v>
      </c>
      <c r="D585" s="22"/>
      <c r="E585" s="22"/>
      <c r="F585" s="22"/>
      <c r="G585" s="22"/>
      <c r="H585" s="22"/>
      <c r="I585" s="22"/>
      <c r="J585" s="22"/>
      <c r="K585" s="22"/>
      <c r="L585" s="22"/>
      <c r="M585" s="22"/>
    </row>
    <row r="586">
      <c r="A586" s="22"/>
      <c r="C586" s="22">
        <v>2026</v>
      </c>
      <c r="D586" s="22">
        <v>2027</v>
      </c>
      <c r="E586" s="22">
        <v>2028</v>
      </c>
      <c r="F586" s="22">
        <v>2029</v>
      </c>
      <c r="G586" s="22">
        <v>2030</v>
      </c>
      <c r="H586" s="22">
        <v>2031</v>
      </c>
      <c r="I586" s="22">
        <v>2032</v>
      </c>
      <c r="J586" s="22">
        <v>2033</v>
      </c>
      <c r="K586" s="22">
        <v>2034</v>
      </c>
      <c r="L586" s="22">
        <v>2035</v>
      </c>
      <c r="M586" s="22">
        <v>2036</v>
      </c>
    </row>
    <row r="587">
      <c r="A587" s="3" t="s">
        <v>504</v>
      </c>
      <c r="B587" s="3"/>
      <c r="C587" s="82">
        <v>0</v>
      </c>
      <c r="D587" s="82">
        <v>0</v>
      </c>
      <c r="E587" s="82">
        <v>0</v>
      </c>
      <c r="F587" s="82">
        <v>0</v>
      </c>
      <c r="G587" s="82">
        <v>0</v>
      </c>
      <c r="H587" s="82">
        <v>0</v>
      </c>
      <c r="I587" s="82">
        <v>0</v>
      </c>
      <c r="J587" s="82">
        <v>0</v>
      </c>
      <c r="K587" s="82">
        <v>0</v>
      </c>
      <c r="L587" s="82">
        <v>0</v>
      </c>
      <c r="M587" s="82">
        <v>0</v>
      </c>
    </row>
    <row r="588">
      <c r="A588" s="3" t="s">
        <v>506</v>
      </c>
      <c r="B588" s="3"/>
      <c r="C588" s="83">
        <v>0</v>
      </c>
      <c r="D588" s="83">
        <v>0</v>
      </c>
      <c r="E588" s="83">
        <v>0</v>
      </c>
      <c r="F588" s="83">
        <v>0</v>
      </c>
      <c r="G588" s="83">
        <v>0</v>
      </c>
      <c r="H588" s="83">
        <v>0</v>
      </c>
      <c r="I588" s="83">
        <v>0</v>
      </c>
      <c r="J588" s="83">
        <v>0</v>
      </c>
      <c r="K588" s="83">
        <v>0</v>
      </c>
      <c r="L588" s="83">
        <v>0</v>
      </c>
      <c r="M588" s="83">
        <v>0</v>
      </c>
    </row>
    <row r="589">
      <c r="A589" s="3" t="s">
        <v>507</v>
      </c>
      <c r="B589" s="3"/>
      <c r="C589" s="83">
        <v>0</v>
      </c>
      <c r="D589" s="83">
        <v>0</v>
      </c>
      <c r="E589" s="83">
        <v>0</v>
      </c>
      <c r="F589" s="83">
        <v>0</v>
      </c>
      <c r="G589" s="83">
        <v>0</v>
      </c>
      <c r="H589" s="83">
        <v>0</v>
      </c>
      <c r="I589" s="83">
        <v>0</v>
      </c>
      <c r="J589" s="83">
        <v>0</v>
      </c>
      <c r="K589" s="83">
        <v>0</v>
      </c>
      <c r="L589" s="83">
        <v>0</v>
      </c>
      <c r="M589" s="83">
        <v>0</v>
      </c>
    </row>
    <row r="590">
      <c r="A590" s="3" t="s">
        <v>508</v>
      </c>
      <c r="B590" s="3"/>
      <c r="C590" s="83">
        <v>0</v>
      </c>
      <c r="D590" s="83">
        <v>0</v>
      </c>
      <c r="E590" s="83">
        <v>0</v>
      </c>
      <c r="F590" s="83">
        <v>0</v>
      </c>
      <c r="G590" s="83">
        <v>0</v>
      </c>
      <c r="H590" s="83">
        <v>0</v>
      </c>
      <c r="I590" s="83">
        <v>0</v>
      </c>
      <c r="J590" s="83">
        <v>0</v>
      </c>
      <c r="K590" s="83">
        <v>0</v>
      </c>
      <c r="L590" s="83">
        <v>0</v>
      </c>
      <c r="M590" s="83">
        <v>0</v>
      </c>
    </row>
    <row r="591">
      <c r="A591" s="3" t="s">
        <v>509</v>
      </c>
      <c r="B591" s="3"/>
      <c r="C591" s="83">
        <v>0</v>
      </c>
      <c r="D591" s="83">
        <v>0</v>
      </c>
      <c r="E591" s="83">
        <v>0</v>
      </c>
      <c r="F591" s="83">
        <v>0</v>
      </c>
      <c r="G591" s="83">
        <v>0</v>
      </c>
      <c r="H591" s="83">
        <v>0</v>
      </c>
      <c r="I591" s="83">
        <v>0</v>
      </c>
      <c r="J591" s="83">
        <v>0</v>
      </c>
      <c r="K591" s="83">
        <v>0</v>
      </c>
      <c r="L591" s="83">
        <v>0</v>
      </c>
      <c r="M591" s="83">
        <v>0</v>
      </c>
    </row>
    <row r="592">
      <c r="A592" s="3" t="s">
        <v>510</v>
      </c>
      <c r="B592" s="3"/>
      <c r="C592" s="83">
        <v>0</v>
      </c>
      <c r="D592" s="83">
        <v>0</v>
      </c>
      <c r="E592" s="83">
        <v>0</v>
      </c>
      <c r="F592" s="83">
        <v>0</v>
      </c>
      <c r="G592" s="83">
        <v>0</v>
      </c>
      <c r="H592" s="83">
        <v>0</v>
      </c>
      <c r="I592" s="83">
        <v>0</v>
      </c>
      <c r="J592" s="83">
        <v>0</v>
      </c>
      <c r="K592" s="83">
        <v>0</v>
      </c>
      <c r="L592" s="83">
        <v>0</v>
      </c>
      <c r="M592" s="83">
        <v>0</v>
      </c>
    </row>
    <row r="596">
      <c r="A596" s="22" t="s">
        <v>529</v>
      </c>
      <c r="C596" s="22" t="s">
        <v>363</v>
      </c>
      <c r="D596" s="22"/>
      <c r="E596" s="22"/>
      <c r="F596" s="22"/>
      <c r="G596" s="22"/>
      <c r="H596" s="22"/>
      <c r="I596" s="22"/>
      <c r="J596" s="22"/>
      <c r="K596" s="22"/>
      <c r="L596" s="22"/>
      <c r="M596" s="22"/>
    </row>
    <row r="597">
      <c r="A597" s="22"/>
      <c r="B597" s="3"/>
      <c r="C597" s="22">
        <v>2026</v>
      </c>
      <c r="D597" s="22">
        <v>2027</v>
      </c>
      <c r="E597" s="22">
        <v>2028</v>
      </c>
      <c r="F597" s="22">
        <v>2029</v>
      </c>
      <c r="G597" s="22">
        <v>2030</v>
      </c>
      <c r="H597" s="22">
        <v>2031</v>
      </c>
      <c r="I597" s="22">
        <v>2032</v>
      </c>
      <c r="J597" s="22">
        <v>2033</v>
      </c>
      <c r="K597" s="22">
        <v>2034</v>
      </c>
      <c r="L597" s="22">
        <v>2035</v>
      </c>
      <c r="M597" s="22">
        <v>2036</v>
      </c>
      <c r="N597" s="22" t="s">
        <v>530</v>
      </c>
    </row>
    <row r="598">
      <c r="A598" s="3" t="s">
        <v>117</v>
      </c>
      <c r="B598" s="3"/>
      <c r="C598" s="74">
        <v>0</v>
      </c>
      <c r="D598" s="74">
        <v>0</v>
      </c>
      <c r="E598" s="74">
        <v>0</v>
      </c>
      <c r="F598" s="74">
        <v>0</v>
      </c>
      <c r="G598" s="74">
        <v>0</v>
      </c>
      <c r="H598" s="74">
        <v>0</v>
      </c>
      <c r="I598" s="74">
        <v>0</v>
      </c>
      <c r="J598" s="74">
        <v>0</v>
      </c>
      <c r="K598" s="74">
        <v>0</v>
      </c>
      <c r="L598" s="74">
        <v>0</v>
      </c>
      <c r="M598" s="74">
        <v>0</v>
      </c>
      <c r="N598" s="78">
        <f>Sum(C598:M598)</f>
        <v>0</v>
      </c>
      <c r="O598" s="76" t="e">
        <f>(N598/N605)</f>
        <v>#DIV/0!</v>
      </c>
      <c r="P598" s="0" t="s">
        <v>531</v>
      </c>
    </row>
    <row r="599">
      <c r="A599" s="3" t="s">
        <v>121</v>
      </c>
      <c r="B599" s="3"/>
      <c r="C599" s="74">
        <v>0</v>
      </c>
      <c r="D599" s="74">
        <v>0</v>
      </c>
      <c r="E599" s="74">
        <v>0</v>
      </c>
      <c r="F599" s="74">
        <v>0</v>
      </c>
      <c r="G599" s="74">
        <v>0</v>
      </c>
      <c r="H599" s="74">
        <v>0</v>
      </c>
      <c r="I599" s="74">
        <v>0</v>
      </c>
      <c r="J599" s="74">
        <v>0</v>
      </c>
      <c r="K599" s="74">
        <v>0</v>
      </c>
      <c r="L599" s="74">
        <v>0</v>
      </c>
      <c r="M599" s="74">
        <v>0</v>
      </c>
      <c r="N599" s="78">
        <f>Sum(C599:M599)</f>
        <v>0</v>
      </c>
      <c r="O599" s="76" t="e">
        <f>(N599/N605)</f>
        <v>#DIV/0!</v>
      </c>
      <c r="P599" s="0" t="s">
        <v>532</v>
      </c>
    </row>
    <row r="600">
      <c r="A600" s="3" t="s">
        <v>122</v>
      </c>
      <c r="B600" s="3"/>
      <c r="C600" s="74">
        <v>0</v>
      </c>
      <c r="D600" s="74">
        <v>0</v>
      </c>
      <c r="E600" s="74">
        <v>0</v>
      </c>
      <c r="F600" s="74">
        <v>0</v>
      </c>
      <c r="G600" s="74">
        <v>0</v>
      </c>
      <c r="H600" s="74">
        <v>0</v>
      </c>
      <c r="I600" s="74">
        <v>0</v>
      </c>
      <c r="J600" s="74">
        <v>0</v>
      </c>
      <c r="K600" s="74">
        <v>0</v>
      </c>
      <c r="L600" s="74">
        <v>0</v>
      </c>
      <c r="M600" s="74">
        <v>0</v>
      </c>
      <c r="N600" s="78">
        <f>Sum(C600:M600)</f>
        <v>0</v>
      </c>
      <c r="O600" s="76" t="e">
        <f>(N600/N605)</f>
        <v>#DIV/0!</v>
      </c>
      <c r="P600" s="0" t="s">
        <v>533</v>
      </c>
    </row>
    <row r="601">
      <c r="A601" s="3" t="s">
        <v>124</v>
      </c>
      <c r="B601" s="3"/>
      <c r="C601" s="74">
        <v>0</v>
      </c>
      <c r="D601" s="74">
        <v>0</v>
      </c>
      <c r="E601" s="74">
        <v>0</v>
      </c>
      <c r="F601" s="74">
        <v>0</v>
      </c>
      <c r="G601" s="74">
        <v>0</v>
      </c>
      <c r="H601" s="74">
        <v>0</v>
      </c>
      <c r="I601" s="74">
        <v>0</v>
      </c>
      <c r="J601" s="74">
        <v>0</v>
      </c>
      <c r="K601" s="74">
        <v>0</v>
      </c>
      <c r="L601" s="74">
        <v>0</v>
      </c>
      <c r="M601" s="74">
        <v>0</v>
      </c>
      <c r="N601" s="78">
        <f>Sum(C601:M601)</f>
        <v>0</v>
      </c>
      <c r="O601" s="76" t="e">
        <f>(N601/N605)</f>
        <v>#DIV/0!</v>
      </c>
      <c r="P601" s="0" t="s">
        <v>534</v>
      </c>
    </row>
    <row r="602">
      <c r="A602" s="3" t="s">
        <v>535</v>
      </c>
      <c r="B602" s="3"/>
      <c r="C602" s="74">
        <v>0</v>
      </c>
      <c r="D602" s="74">
        <v>0</v>
      </c>
      <c r="E602" s="74">
        <v>0</v>
      </c>
      <c r="F602" s="74">
        <v>0</v>
      </c>
      <c r="G602" s="74">
        <v>0</v>
      </c>
      <c r="H602" s="74">
        <v>0</v>
      </c>
      <c r="I602" s="74">
        <v>0</v>
      </c>
      <c r="J602" s="74">
        <v>0</v>
      </c>
      <c r="K602" s="74">
        <v>0</v>
      </c>
      <c r="L602" s="74">
        <v>0</v>
      </c>
      <c r="M602" s="74">
        <v>0</v>
      </c>
      <c r="N602" s="78">
        <f>Sum(C602:M602)</f>
        <v>0</v>
      </c>
      <c r="O602" s="76" t="e">
        <f>(N602/N605)</f>
        <v>#DIV/0!</v>
      </c>
      <c r="P602" s="0" t="s">
        <v>536</v>
      </c>
    </row>
    <row r="603">
      <c r="A603" s="3" t="s">
        <v>537</v>
      </c>
      <c r="B603" s="3"/>
      <c r="C603" s="74">
        <v>0</v>
      </c>
      <c r="D603" s="74">
        <v>0</v>
      </c>
      <c r="E603" s="74">
        <v>0</v>
      </c>
      <c r="F603" s="74">
        <v>0</v>
      </c>
      <c r="G603" s="74">
        <v>0</v>
      </c>
      <c r="H603" s="74">
        <v>0</v>
      </c>
      <c r="I603" s="74">
        <v>0</v>
      </c>
      <c r="J603" s="74">
        <v>0</v>
      </c>
      <c r="K603" s="74">
        <v>0</v>
      </c>
      <c r="L603" s="74">
        <v>0</v>
      </c>
      <c r="M603" s="74">
        <v>0</v>
      </c>
      <c r="N603" s="78">
        <f>Sum(C603:M603)</f>
        <v>0</v>
      </c>
      <c r="O603" s="76" t="e">
        <f>(N603/N605)</f>
        <v>#DIV/0!</v>
      </c>
      <c r="P603" s="0" t="s">
        <v>538</v>
      </c>
    </row>
    <row r="604">
      <c r="A604" s="3" t="s">
        <v>539</v>
      </c>
      <c r="B604" s="3"/>
      <c r="C604" s="74">
        <v>0</v>
      </c>
      <c r="D604" s="74">
        <v>0</v>
      </c>
      <c r="E604" s="74">
        <v>0</v>
      </c>
      <c r="F604" s="74">
        <v>0</v>
      </c>
      <c r="G604" s="74">
        <v>0</v>
      </c>
      <c r="H604" s="74">
        <v>0</v>
      </c>
      <c r="I604" s="74">
        <v>0</v>
      </c>
      <c r="J604" s="74">
        <v>0</v>
      </c>
      <c r="K604" s="74">
        <v>0</v>
      </c>
      <c r="L604" s="74">
        <v>0</v>
      </c>
      <c r="M604" s="74">
        <v>0</v>
      </c>
      <c r="N604" s="78">
        <f>Sum(C604:M604)</f>
        <v>0</v>
      </c>
      <c r="O604" s="76" t="e">
        <f>(N604/N605)</f>
        <v>#DIV/0!</v>
      </c>
      <c r="P604" s="0" t="s">
        <v>540</v>
      </c>
    </row>
    <row r="605">
      <c r="A605" s="3" t="s">
        <v>541</v>
      </c>
      <c r="B605" s="3"/>
      <c r="C605" s="74"/>
      <c r="D605" s="74"/>
      <c r="E605" s="74"/>
      <c r="F605" s="74"/>
      <c r="G605" s="74"/>
      <c r="H605" s="74"/>
      <c r="I605" s="74"/>
      <c r="J605" s="74"/>
      <c r="K605" s="74"/>
      <c r="L605" s="74"/>
      <c r="M605" s="74"/>
      <c r="N605" s="78">
        <f>Sum(C605:M605)</f>
        <v>0</v>
      </c>
    </row>
    <row r="606">
      <c r="A606" s="3"/>
      <c r="B606" s="3"/>
      <c r="C606" s="74"/>
      <c r="D606" s="74"/>
      <c r="E606" s="74"/>
      <c r="F606" s="74"/>
      <c r="G606" s="74"/>
      <c r="H606" s="74"/>
      <c r="I606" s="74"/>
      <c r="J606" s="74"/>
      <c r="K606" s="74"/>
      <c r="L606" s="74"/>
      <c r="M606" s="74"/>
      <c r="N606" s="78"/>
    </row>
    <row r="607">
      <c r="A607" s="3" t="s">
        <v>542</v>
      </c>
      <c r="B607" s="3"/>
      <c r="C607" s="74">
        <v>0</v>
      </c>
      <c r="D607" s="74">
        <v>0</v>
      </c>
      <c r="E607" s="74">
        <v>0</v>
      </c>
      <c r="F607" s="74">
        <v>0</v>
      </c>
      <c r="G607" s="74">
        <v>0</v>
      </c>
      <c r="H607" s="74">
        <v>0</v>
      </c>
      <c r="I607" s="74">
        <v>0</v>
      </c>
      <c r="J607" s="74">
        <v>0</v>
      </c>
      <c r="K607" s="74">
        <v>0</v>
      </c>
      <c r="L607" s="74">
        <v>0</v>
      </c>
      <c r="M607" s="74">
        <v>0</v>
      </c>
      <c r="N607" s="78">
        <f>Sum(C607:M607)</f>
        <v>0</v>
      </c>
    </row>
    <row r="609">
      <c r="A609" s="22" t="s">
        <v>543</v>
      </c>
      <c r="C609" s="22" t="s">
        <v>363</v>
      </c>
      <c r="D609" s="22"/>
      <c r="E609" s="22"/>
      <c r="F609" s="22"/>
      <c r="G609" s="22"/>
      <c r="H609" s="22"/>
      <c r="I609" s="22"/>
      <c r="J609" s="22"/>
      <c r="K609" s="22"/>
      <c r="L609" s="22"/>
      <c r="M609" s="22"/>
    </row>
    <row r="610">
      <c r="A610" s="22"/>
      <c r="C610" s="22">
        <v>2026</v>
      </c>
      <c r="D610" s="22">
        <v>2027</v>
      </c>
      <c r="E610" s="22">
        <v>2028</v>
      </c>
      <c r="F610" s="22">
        <v>2029</v>
      </c>
      <c r="G610" s="22">
        <v>2030</v>
      </c>
      <c r="H610" s="22">
        <v>2031</v>
      </c>
      <c r="I610" s="22">
        <v>2032</v>
      </c>
      <c r="J610" s="22">
        <v>2033</v>
      </c>
      <c r="K610" s="22">
        <v>2034</v>
      </c>
      <c r="L610" s="22">
        <v>2035</v>
      </c>
      <c r="M610" s="22">
        <v>2036</v>
      </c>
    </row>
    <row r="611">
      <c r="A611" s="3"/>
      <c r="B611" s="3"/>
      <c r="C611" s="74"/>
      <c r="D611" s="74"/>
      <c r="E611" s="74"/>
      <c r="F611" s="74"/>
      <c r="G611" s="74"/>
      <c r="H611" s="74"/>
      <c r="I611" s="74"/>
      <c r="J611" s="74"/>
      <c r="K611" s="74"/>
      <c r="L611" s="74"/>
      <c r="M611" s="74"/>
      <c r="N611" s="78">
        <f>Sum(C611:M611)</f>
        <v>0</v>
      </c>
    </row>
    <row r="614">
      <c r="A614" s="22" t="s">
        <v>473</v>
      </c>
      <c r="C614" s="22" t="s">
        <v>544</v>
      </c>
      <c r="D614" s="22"/>
      <c r="E614" s="22"/>
      <c r="F614" s="22"/>
      <c r="G614" s="22"/>
      <c r="H614" s="22"/>
      <c r="I614" s="22"/>
      <c r="J614" s="22"/>
      <c r="K614" s="22"/>
      <c r="L614" s="22"/>
      <c r="M614" s="22"/>
    </row>
    <row r="615">
      <c r="A615" s="22"/>
      <c r="C615" s="22">
        <v>2026</v>
      </c>
      <c r="D615" s="22">
        <v>2027</v>
      </c>
      <c r="E615" s="22">
        <v>2028</v>
      </c>
      <c r="F615" s="22">
        <v>2029</v>
      </c>
      <c r="G615" s="22">
        <v>2030</v>
      </c>
      <c r="H615" s="22">
        <v>2031</v>
      </c>
      <c r="I615" s="22">
        <v>2032</v>
      </c>
      <c r="J615" s="22">
        <v>2033</v>
      </c>
      <c r="K615" s="22">
        <v>2034</v>
      </c>
      <c r="L615" s="22">
        <v>2035</v>
      </c>
      <c r="M615" s="22">
        <v>2036</v>
      </c>
    </row>
    <row r="616">
      <c r="A616" s="3" t="s">
        <v>545</v>
      </c>
      <c r="B616" s="3"/>
      <c r="C616" s="90">
        <v>0</v>
      </c>
      <c r="D616" s="90">
        <v>0</v>
      </c>
      <c r="E616" s="90">
        <v>0</v>
      </c>
      <c r="F616" s="90">
        <v>0</v>
      </c>
      <c r="G616" s="90">
        <v>0</v>
      </c>
      <c r="H616" s="90">
        <v>0</v>
      </c>
      <c r="I616" s="90">
        <v>0</v>
      </c>
      <c r="J616" s="90">
        <v>0</v>
      </c>
      <c r="K616" s="90">
        <v>0</v>
      </c>
      <c r="L616" s="90">
        <v>0</v>
      </c>
      <c r="M616" s="90">
        <v>0</v>
      </c>
    </row>
    <row r="617">
      <c r="A617" s="3" t="s">
        <v>546</v>
      </c>
      <c r="B617" s="3"/>
      <c r="C617" s="90">
        <v>0</v>
      </c>
      <c r="D617" s="90">
        <v>0</v>
      </c>
      <c r="E617" s="90">
        <v>0</v>
      </c>
      <c r="F617" s="90">
        <v>0</v>
      </c>
      <c r="G617" s="90">
        <v>0</v>
      </c>
      <c r="H617" s="90">
        <v>0</v>
      </c>
      <c r="I617" s="90">
        <v>0</v>
      </c>
      <c r="J617" s="90">
        <v>0</v>
      </c>
      <c r="K617" s="90">
        <v>0</v>
      </c>
      <c r="L617" s="90">
        <v>0</v>
      </c>
      <c r="M617" s="90">
        <v>0</v>
      </c>
    </row>
    <row r="618">
      <c r="A618" s="3" t="s">
        <v>547</v>
      </c>
      <c r="B618" s="3"/>
      <c r="C618" s="90">
        <v>0</v>
      </c>
      <c r="D618" s="90">
        <v>0</v>
      </c>
      <c r="E618" s="90">
        <v>0</v>
      </c>
      <c r="F618" s="90">
        <v>0</v>
      </c>
      <c r="G618" s="90">
        <v>0</v>
      </c>
      <c r="H618" s="90">
        <v>0</v>
      </c>
      <c r="I618" s="90">
        <v>0</v>
      </c>
      <c r="J618" s="90">
        <v>0</v>
      </c>
      <c r="K618" s="90">
        <v>0</v>
      </c>
      <c r="L618" s="90">
        <v>0</v>
      </c>
      <c r="M618" s="90">
        <v>0</v>
      </c>
    </row>
    <row r="619">
      <c r="A619" s="3" t="s">
        <v>548</v>
      </c>
      <c r="B619" s="3"/>
      <c r="C619" s="90">
        <v>0</v>
      </c>
      <c r="D619" s="90">
        <v>0</v>
      </c>
      <c r="E619" s="90">
        <v>0</v>
      </c>
      <c r="F619" s="90">
        <v>0</v>
      </c>
      <c r="G619" s="90">
        <v>0</v>
      </c>
      <c r="H619" s="90">
        <v>0</v>
      </c>
      <c r="I619" s="90">
        <v>0</v>
      </c>
      <c r="J619" s="90">
        <v>0</v>
      </c>
      <c r="K619" s="90">
        <v>0</v>
      </c>
      <c r="L619" s="90">
        <v>0</v>
      </c>
      <c r="M619" s="90">
        <v>0</v>
      </c>
    </row>
    <row r="620">
      <c r="A620" s="3" t="s">
        <v>549</v>
      </c>
      <c r="B620" s="3"/>
      <c r="C620" s="90">
        <v>0</v>
      </c>
      <c r="D620" s="90">
        <v>0</v>
      </c>
      <c r="E620" s="90">
        <v>0</v>
      </c>
      <c r="F620" s="90">
        <v>0</v>
      </c>
      <c r="G620" s="90">
        <v>0</v>
      </c>
      <c r="H620" s="90">
        <v>0</v>
      </c>
      <c r="I620" s="90">
        <v>0</v>
      </c>
      <c r="J620" s="90">
        <v>0</v>
      </c>
      <c r="K620" s="90">
        <v>0</v>
      </c>
      <c r="L620" s="90">
        <v>0</v>
      </c>
      <c r="M620" s="90">
        <v>0</v>
      </c>
    </row>
    <row r="621">
      <c r="A621" s="3" t="s">
        <v>550</v>
      </c>
      <c r="B621" s="3"/>
      <c r="C621" s="90">
        <v>0</v>
      </c>
      <c r="D621" s="90">
        <v>0</v>
      </c>
      <c r="E621" s="90">
        <v>0</v>
      </c>
      <c r="F621" s="90">
        <v>0</v>
      </c>
      <c r="G621" s="90">
        <v>0</v>
      </c>
      <c r="H621" s="90">
        <v>0</v>
      </c>
      <c r="I621" s="90">
        <v>0</v>
      </c>
      <c r="J621" s="90">
        <v>0</v>
      </c>
      <c r="K621" s="90">
        <v>0</v>
      </c>
      <c r="L621" s="90">
        <v>0</v>
      </c>
      <c r="M621" s="90">
        <v>0</v>
      </c>
    </row>
    <row r="622">
      <c r="A622" s="3" t="s">
        <v>551</v>
      </c>
      <c r="B622" s="3"/>
      <c r="C622" s="90">
        <v>0</v>
      </c>
      <c r="D622" s="90">
        <v>0</v>
      </c>
      <c r="E622" s="90"/>
      <c r="F622" s="90">
        <v>0</v>
      </c>
      <c r="G622" s="90"/>
      <c r="H622" s="90">
        <v>0</v>
      </c>
      <c r="I622" s="90"/>
      <c r="J622" s="90"/>
      <c r="K622" s="90"/>
      <c r="L622" s="90"/>
      <c r="M622" s="90">
        <v>0</v>
      </c>
    </row>
    <row r="624">
      <c r="A624" s="25" t="s">
        <v>145</v>
      </c>
      <c r="B624" s="25"/>
      <c r="C624" s="25"/>
      <c r="D624" s="25"/>
      <c r="E624" s="25"/>
      <c r="F624" s="25"/>
      <c r="G624" s="25"/>
      <c r="H624" s="25"/>
      <c r="I624" s="25"/>
      <c r="J624" s="25"/>
      <c r="K624" s="25"/>
      <c r="L624" s="24"/>
      <c r="M624" s="24"/>
    </row>
    <row r="627">
      <c r="A627" s="22" t="s">
        <v>363</v>
      </c>
      <c r="C627" s="22" t="s">
        <v>502</v>
      </c>
      <c r="D627" s="22"/>
      <c r="E627" s="22"/>
      <c r="F627" s="22"/>
      <c r="G627" s="22"/>
      <c r="H627" s="22"/>
      <c r="I627" s="22"/>
      <c r="J627" s="22"/>
      <c r="K627" s="22"/>
      <c r="L627" s="22"/>
      <c r="M627" s="22"/>
    </row>
    <row r="628">
      <c r="A628" s="22"/>
      <c r="C628" s="22">
        <v>2026</v>
      </c>
      <c r="D628" s="22">
        <v>2027</v>
      </c>
      <c r="E628" s="22">
        <v>2028</v>
      </c>
      <c r="F628" s="22">
        <v>2029</v>
      </c>
      <c r="G628" s="22">
        <v>2030</v>
      </c>
      <c r="H628" s="22">
        <v>2031</v>
      </c>
      <c r="I628" s="22">
        <v>2032</v>
      </c>
      <c r="J628" s="22">
        <v>2033</v>
      </c>
      <c r="K628" s="22">
        <v>2034</v>
      </c>
      <c r="L628" s="22">
        <v>2035</v>
      </c>
      <c r="M628" s="22">
        <v>2036</v>
      </c>
    </row>
    <row r="629">
      <c r="A629" s="3" t="s">
        <v>504</v>
      </c>
      <c r="B629" s="3"/>
      <c r="C629" s="82">
        <v>0</v>
      </c>
      <c r="D629" s="82">
        <v>0</v>
      </c>
      <c r="E629" s="82">
        <v>0</v>
      </c>
      <c r="F629" s="82">
        <v>0</v>
      </c>
      <c r="G629" s="82">
        <v>0</v>
      </c>
      <c r="H629" s="82">
        <v>0</v>
      </c>
      <c r="I629" s="82">
        <v>0</v>
      </c>
      <c r="J629" s="82">
        <v>0</v>
      </c>
      <c r="K629" s="82">
        <v>0</v>
      </c>
      <c r="L629" s="82">
        <v>0</v>
      </c>
      <c r="M629" s="82">
        <v>0</v>
      </c>
    </row>
    <row r="630">
      <c r="A630" s="3" t="s">
        <v>506</v>
      </c>
      <c r="B630" s="3"/>
      <c r="C630" s="83">
        <v>0</v>
      </c>
      <c r="D630" s="83">
        <v>0</v>
      </c>
      <c r="E630" s="83">
        <v>0</v>
      </c>
      <c r="F630" s="83">
        <v>0</v>
      </c>
      <c r="G630" s="83">
        <v>0</v>
      </c>
      <c r="H630" s="83">
        <v>0</v>
      </c>
      <c r="I630" s="83">
        <v>0</v>
      </c>
      <c r="J630" s="83">
        <v>0</v>
      </c>
      <c r="K630" s="83">
        <v>0</v>
      </c>
      <c r="L630" s="83">
        <v>0</v>
      </c>
      <c r="M630" s="83">
        <v>0</v>
      </c>
    </row>
    <row r="631">
      <c r="A631" s="3" t="s">
        <v>507</v>
      </c>
      <c r="B631" s="3"/>
      <c r="C631" s="83">
        <v>0</v>
      </c>
      <c r="D631" s="83">
        <v>0</v>
      </c>
      <c r="E631" s="83">
        <v>0</v>
      </c>
      <c r="F631" s="83">
        <v>0</v>
      </c>
      <c r="G631" s="83">
        <v>0</v>
      </c>
      <c r="H631" s="83">
        <v>0</v>
      </c>
      <c r="I631" s="83">
        <v>0</v>
      </c>
      <c r="J631" s="83">
        <v>0</v>
      </c>
      <c r="K631" s="83">
        <v>0</v>
      </c>
      <c r="L631" s="83">
        <v>0</v>
      </c>
      <c r="M631" s="83">
        <v>0</v>
      </c>
    </row>
    <row r="632">
      <c r="A632" s="3" t="s">
        <v>508</v>
      </c>
      <c r="B632" s="3"/>
      <c r="C632" s="83">
        <v>0</v>
      </c>
      <c r="D632" s="83">
        <v>0</v>
      </c>
      <c r="E632" s="83">
        <v>0</v>
      </c>
      <c r="F632" s="83">
        <v>0</v>
      </c>
      <c r="G632" s="83">
        <v>0</v>
      </c>
      <c r="H632" s="83">
        <v>0</v>
      </c>
      <c r="I632" s="83">
        <v>0</v>
      </c>
      <c r="J632" s="83">
        <v>0</v>
      </c>
      <c r="K632" s="83">
        <v>0</v>
      </c>
      <c r="L632" s="83">
        <v>0</v>
      </c>
      <c r="M632" s="83">
        <v>0</v>
      </c>
    </row>
    <row r="633">
      <c r="A633" s="3" t="s">
        <v>509</v>
      </c>
      <c r="B633" s="3"/>
      <c r="C633" s="83">
        <v>0</v>
      </c>
      <c r="D633" s="83">
        <v>0</v>
      </c>
      <c r="E633" s="83">
        <v>0</v>
      </c>
      <c r="F633" s="83">
        <v>0</v>
      </c>
      <c r="G633" s="83">
        <v>0</v>
      </c>
      <c r="H633" s="83">
        <v>0</v>
      </c>
      <c r="I633" s="83">
        <v>0</v>
      </c>
      <c r="J633" s="83">
        <v>0</v>
      </c>
      <c r="K633" s="83">
        <v>0</v>
      </c>
      <c r="L633" s="83">
        <v>0</v>
      </c>
      <c r="M633" s="83">
        <v>0</v>
      </c>
    </row>
    <row r="634">
      <c r="A634" s="3" t="s">
        <v>510</v>
      </c>
      <c r="B634" s="3"/>
      <c r="C634" s="83">
        <v>0</v>
      </c>
      <c r="D634" s="83">
        <v>0</v>
      </c>
      <c r="E634" s="83">
        <v>0</v>
      </c>
      <c r="F634" s="83">
        <v>0</v>
      </c>
      <c r="G634" s="83">
        <v>0</v>
      </c>
      <c r="H634" s="83">
        <v>0</v>
      </c>
      <c r="I634" s="83">
        <v>0</v>
      </c>
      <c r="J634" s="83">
        <v>0</v>
      </c>
      <c r="K634" s="83">
        <v>0</v>
      </c>
      <c r="L634" s="83">
        <v>0</v>
      </c>
      <c r="M634" s="83">
        <v>0</v>
      </c>
    </row>
    <row r="638">
      <c r="A638" s="22" t="s">
        <v>529</v>
      </c>
      <c r="C638" s="22" t="s">
        <v>363</v>
      </c>
      <c r="D638" s="22"/>
      <c r="E638" s="22"/>
      <c r="F638" s="22"/>
      <c r="G638" s="22"/>
      <c r="H638" s="22"/>
      <c r="I638" s="22"/>
      <c r="J638" s="22"/>
      <c r="K638" s="22"/>
      <c r="L638" s="22"/>
      <c r="M638" s="22"/>
    </row>
    <row r="639">
      <c r="A639" s="22"/>
      <c r="B639" s="3"/>
      <c r="C639" s="22">
        <v>2026</v>
      </c>
      <c r="D639" s="22">
        <v>2027</v>
      </c>
      <c r="E639" s="22">
        <v>2028</v>
      </c>
      <c r="F639" s="22">
        <v>2029</v>
      </c>
      <c r="G639" s="22">
        <v>2030</v>
      </c>
      <c r="H639" s="22">
        <v>2031</v>
      </c>
      <c r="I639" s="22">
        <v>2032</v>
      </c>
      <c r="J639" s="22">
        <v>2033</v>
      </c>
      <c r="K639" s="22">
        <v>2034</v>
      </c>
      <c r="L639" s="22">
        <v>2035</v>
      </c>
      <c r="M639" s="22">
        <v>2036</v>
      </c>
      <c r="N639" s="22" t="s">
        <v>530</v>
      </c>
    </row>
    <row r="640">
      <c r="A640" s="3" t="s">
        <v>117</v>
      </c>
      <c r="B640" s="3"/>
      <c r="C640" s="74">
        <v>0</v>
      </c>
      <c r="D640" s="74">
        <v>0</v>
      </c>
      <c r="E640" s="74">
        <v>0</v>
      </c>
      <c r="F640" s="74">
        <v>0</v>
      </c>
      <c r="G640" s="74">
        <v>0</v>
      </c>
      <c r="H640" s="74">
        <v>0</v>
      </c>
      <c r="I640" s="74">
        <v>0</v>
      </c>
      <c r="J640" s="74">
        <v>0</v>
      </c>
      <c r="K640" s="74">
        <v>0</v>
      </c>
      <c r="L640" s="74">
        <v>0</v>
      </c>
      <c r="M640" s="74">
        <v>0</v>
      </c>
      <c r="N640" s="78">
        <f>Sum(C640:M640)</f>
        <v>0</v>
      </c>
      <c r="O640" s="76" t="e">
        <f>(N640/N647)</f>
        <v>#DIV/0!</v>
      </c>
      <c r="P640" s="0" t="s">
        <v>531</v>
      </c>
    </row>
    <row r="641">
      <c r="A641" s="3" t="s">
        <v>121</v>
      </c>
      <c r="B641" s="3"/>
      <c r="C641" s="74">
        <v>0</v>
      </c>
      <c r="D641" s="74">
        <v>0</v>
      </c>
      <c r="E641" s="74">
        <v>0</v>
      </c>
      <c r="F641" s="74">
        <v>0</v>
      </c>
      <c r="G641" s="74">
        <v>0</v>
      </c>
      <c r="H641" s="74">
        <v>0</v>
      </c>
      <c r="I641" s="74">
        <v>0</v>
      </c>
      <c r="J641" s="74">
        <v>0</v>
      </c>
      <c r="K641" s="74">
        <v>0</v>
      </c>
      <c r="L641" s="74">
        <v>0</v>
      </c>
      <c r="M641" s="74">
        <v>0</v>
      </c>
      <c r="N641" s="78">
        <f>Sum(C641:M641)</f>
        <v>0</v>
      </c>
      <c r="O641" s="76" t="e">
        <f>(N641/N647)</f>
        <v>#DIV/0!</v>
      </c>
      <c r="P641" s="0" t="s">
        <v>532</v>
      </c>
    </row>
    <row r="642">
      <c r="A642" s="3" t="s">
        <v>122</v>
      </c>
      <c r="B642" s="3"/>
      <c r="C642" s="74">
        <v>0</v>
      </c>
      <c r="D642" s="74">
        <v>0</v>
      </c>
      <c r="E642" s="74">
        <v>0</v>
      </c>
      <c r="F642" s="74">
        <v>0</v>
      </c>
      <c r="G642" s="74">
        <v>0</v>
      </c>
      <c r="H642" s="74">
        <v>0</v>
      </c>
      <c r="I642" s="74">
        <v>0</v>
      </c>
      <c r="J642" s="74">
        <v>0</v>
      </c>
      <c r="K642" s="74">
        <v>0</v>
      </c>
      <c r="L642" s="74">
        <v>0</v>
      </c>
      <c r="M642" s="74">
        <v>0</v>
      </c>
      <c r="N642" s="78">
        <f>Sum(C642:M642)</f>
        <v>0</v>
      </c>
      <c r="O642" s="76" t="e">
        <f>(N642/N647)</f>
        <v>#DIV/0!</v>
      </c>
      <c r="P642" s="0" t="s">
        <v>533</v>
      </c>
    </row>
    <row r="643">
      <c r="A643" s="3" t="s">
        <v>124</v>
      </c>
      <c r="B643" s="3"/>
      <c r="C643" s="74">
        <v>0</v>
      </c>
      <c r="D643" s="74">
        <v>0</v>
      </c>
      <c r="E643" s="74">
        <v>0</v>
      </c>
      <c r="F643" s="74">
        <v>0</v>
      </c>
      <c r="G643" s="74">
        <v>0</v>
      </c>
      <c r="H643" s="74">
        <v>0</v>
      </c>
      <c r="I643" s="74">
        <v>0</v>
      </c>
      <c r="J643" s="74">
        <v>0</v>
      </c>
      <c r="K643" s="74">
        <v>0</v>
      </c>
      <c r="L643" s="74">
        <v>0</v>
      </c>
      <c r="M643" s="74">
        <v>0</v>
      </c>
      <c r="N643" s="78">
        <f>Sum(C643:M643)</f>
        <v>0</v>
      </c>
      <c r="O643" s="76" t="e">
        <f>(N643/N647)</f>
        <v>#DIV/0!</v>
      </c>
      <c r="P643" s="0" t="s">
        <v>534</v>
      </c>
    </row>
    <row r="644">
      <c r="A644" s="3" t="s">
        <v>535</v>
      </c>
      <c r="B644" s="3"/>
      <c r="C644" s="74">
        <v>0</v>
      </c>
      <c r="D644" s="74">
        <v>0</v>
      </c>
      <c r="E644" s="74">
        <v>0</v>
      </c>
      <c r="F644" s="74">
        <v>0</v>
      </c>
      <c r="G644" s="74">
        <v>0</v>
      </c>
      <c r="H644" s="74">
        <v>0</v>
      </c>
      <c r="I644" s="74">
        <v>0</v>
      </c>
      <c r="J644" s="74">
        <v>0</v>
      </c>
      <c r="K644" s="74">
        <v>0</v>
      </c>
      <c r="L644" s="74">
        <v>0</v>
      </c>
      <c r="M644" s="74">
        <v>0</v>
      </c>
      <c r="N644" s="78">
        <f>Sum(C644:M644)</f>
        <v>0</v>
      </c>
      <c r="O644" s="76" t="e">
        <f>(N644/N647)</f>
        <v>#DIV/0!</v>
      </c>
      <c r="P644" s="0" t="s">
        <v>536</v>
      </c>
    </row>
    <row r="645">
      <c r="A645" s="3" t="s">
        <v>537</v>
      </c>
      <c r="B645" s="3"/>
      <c r="C645" s="74">
        <v>0</v>
      </c>
      <c r="D645" s="74">
        <v>0</v>
      </c>
      <c r="E645" s="74">
        <v>0</v>
      </c>
      <c r="F645" s="74">
        <v>0</v>
      </c>
      <c r="G645" s="74">
        <v>0</v>
      </c>
      <c r="H645" s="74">
        <v>0</v>
      </c>
      <c r="I645" s="74">
        <v>0</v>
      </c>
      <c r="J645" s="74">
        <v>0</v>
      </c>
      <c r="K645" s="74">
        <v>0</v>
      </c>
      <c r="L645" s="74">
        <v>0</v>
      </c>
      <c r="M645" s="74">
        <v>0</v>
      </c>
      <c r="N645" s="78">
        <f>Sum(C645:M645)</f>
        <v>0</v>
      </c>
      <c r="O645" s="76" t="e">
        <f>(N645/N647)</f>
        <v>#DIV/0!</v>
      </c>
      <c r="P645" s="0" t="s">
        <v>538</v>
      </c>
    </row>
    <row r="646">
      <c r="A646" s="3" t="s">
        <v>539</v>
      </c>
      <c r="B646" s="3"/>
      <c r="C646" s="74">
        <v>0</v>
      </c>
      <c r="D646" s="74">
        <v>0</v>
      </c>
      <c r="E646" s="74">
        <v>0</v>
      </c>
      <c r="F646" s="74">
        <v>0</v>
      </c>
      <c r="G646" s="74">
        <v>0</v>
      </c>
      <c r="H646" s="74">
        <v>0</v>
      </c>
      <c r="I646" s="74">
        <v>0</v>
      </c>
      <c r="J646" s="74">
        <v>0</v>
      </c>
      <c r="K646" s="74">
        <v>0</v>
      </c>
      <c r="L646" s="74">
        <v>0</v>
      </c>
      <c r="M646" s="74">
        <v>0</v>
      </c>
      <c r="N646" s="78">
        <f>Sum(C646:M646)</f>
        <v>0</v>
      </c>
      <c r="O646" s="76" t="e">
        <f>(N646/N647)</f>
        <v>#DIV/0!</v>
      </c>
      <c r="P646" s="0" t="s">
        <v>540</v>
      </c>
    </row>
    <row r="647">
      <c r="A647" s="3" t="s">
        <v>541</v>
      </c>
      <c r="B647" s="3"/>
      <c r="C647" s="74"/>
      <c r="D647" s="74"/>
      <c r="E647" s="74"/>
      <c r="F647" s="74"/>
      <c r="G647" s="74"/>
      <c r="H647" s="74"/>
      <c r="I647" s="74"/>
      <c r="J647" s="74"/>
      <c r="K647" s="74"/>
      <c r="L647" s="74"/>
      <c r="M647" s="74"/>
      <c r="N647" s="78">
        <f>Sum(C647:M647)</f>
        <v>0</v>
      </c>
    </row>
    <row r="648">
      <c r="A648" s="3"/>
      <c r="B648" s="3"/>
      <c r="C648" s="74"/>
      <c r="D648" s="74"/>
      <c r="E648" s="74"/>
      <c r="F648" s="74"/>
      <c r="G648" s="74"/>
      <c r="H648" s="74"/>
      <c r="I648" s="74"/>
      <c r="J648" s="74"/>
      <c r="K648" s="74"/>
      <c r="L648" s="74"/>
      <c r="M648" s="74"/>
      <c r="N648" s="78"/>
    </row>
    <row r="649">
      <c r="A649" s="3" t="s">
        <v>542</v>
      </c>
      <c r="B649" s="3"/>
      <c r="C649" s="74">
        <v>0</v>
      </c>
      <c r="D649" s="74">
        <v>0</v>
      </c>
      <c r="E649" s="74">
        <v>0</v>
      </c>
      <c r="F649" s="74">
        <v>0</v>
      </c>
      <c r="G649" s="74">
        <v>0</v>
      </c>
      <c r="H649" s="74">
        <v>0</v>
      </c>
      <c r="I649" s="74">
        <v>0</v>
      </c>
      <c r="J649" s="74">
        <v>0</v>
      </c>
      <c r="K649" s="74">
        <v>0</v>
      </c>
      <c r="L649" s="74">
        <v>0</v>
      </c>
      <c r="M649" s="74">
        <v>0</v>
      </c>
      <c r="N649" s="78">
        <f>Sum(C649:M649)</f>
        <v>0</v>
      </c>
    </row>
    <row r="651">
      <c r="A651" s="22" t="s">
        <v>543</v>
      </c>
      <c r="C651" s="22" t="s">
        <v>363</v>
      </c>
      <c r="D651" s="22"/>
      <c r="E651" s="22"/>
      <c r="F651" s="22"/>
      <c r="G651" s="22"/>
      <c r="H651" s="22"/>
      <c r="I651" s="22"/>
      <c r="J651" s="22"/>
      <c r="K651" s="22"/>
      <c r="L651" s="22"/>
      <c r="M651" s="22"/>
    </row>
    <row r="652">
      <c r="A652" s="22"/>
      <c r="C652" s="22">
        <v>2026</v>
      </c>
      <c r="D652" s="22">
        <v>2027</v>
      </c>
      <c r="E652" s="22">
        <v>2028</v>
      </c>
      <c r="F652" s="22">
        <v>2029</v>
      </c>
      <c r="G652" s="22">
        <v>2030</v>
      </c>
      <c r="H652" s="22">
        <v>2031</v>
      </c>
      <c r="I652" s="22">
        <v>2032</v>
      </c>
      <c r="J652" s="22">
        <v>2033</v>
      </c>
      <c r="K652" s="22">
        <v>2034</v>
      </c>
      <c r="L652" s="22">
        <v>2035</v>
      </c>
      <c r="M652" s="22">
        <v>2036</v>
      </c>
    </row>
    <row r="653">
      <c r="A653" s="3"/>
      <c r="B653" s="3"/>
      <c r="C653" s="74"/>
      <c r="D653" s="74"/>
      <c r="E653" s="74"/>
      <c r="F653" s="74"/>
      <c r="G653" s="74"/>
      <c r="H653" s="74"/>
      <c r="I653" s="74"/>
      <c r="J653" s="74"/>
      <c r="K653" s="74"/>
      <c r="L653" s="74"/>
      <c r="M653" s="74"/>
      <c r="N653" s="78">
        <f>Sum(C653:M653)</f>
        <v>0</v>
      </c>
    </row>
    <row r="656">
      <c r="A656" s="22" t="s">
        <v>473</v>
      </c>
      <c r="C656" s="22" t="s">
        <v>544</v>
      </c>
      <c r="D656" s="22"/>
      <c r="E656" s="22"/>
      <c r="F656" s="22"/>
      <c r="G656" s="22"/>
      <c r="H656" s="22"/>
      <c r="I656" s="22"/>
      <c r="J656" s="22"/>
      <c r="K656" s="22"/>
      <c r="L656" s="22"/>
      <c r="M656" s="22"/>
    </row>
    <row r="657">
      <c r="A657" s="22"/>
      <c r="C657" s="22">
        <v>2026</v>
      </c>
      <c r="D657" s="22">
        <v>2027</v>
      </c>
      <c r="E657" s="22">
        <v>2028</v>
      </c>
      <c r="F657" s="22">
        <v>2029</v>
      </c>
      <c r="G657" s="22">
        <v>2030</v>
      </c>
      <c r="H657" s="22">
        <v>2031</v>
      </c>
      <c r="I657" s="22">
        <v>2032</v>
      </c>
      <c r="J657" s="22">
        <v>2033</v>
      </c>
      <c r="K657" s="22">
        <v>2034</v>
      </c>
      <c r="L657" s="22">
        <v>2035</v>
      </c>
      <c r="M657" s="22">
        <v>2036</v>
      </c>
    </row>
    <row r="658">
      <c r="A658" s="3" t="s">
        <v>545</v>
      </c>
      <c r="B658" s="3"/>
      <c r="C658" s="90">
        <v>0</v>
      </c>
      <c r="D658" s="90">
        <v>0</v>
      </c>
      <c r="E658" s="90">
        <v>0</v>
      </c>
      <c r="F658" s="90">
        <v>0</v>
      </c>
      <c r="G658" s="90">
        <v>0</v>
      </c>
      <c r="H658" s="90">
        <v>0</v>
      </c>
      <c r="I658" s="90">
        <v>0</v>
      </c>
      <c r="J658" s="90">
        <v>0</v>
      </c>
      <c r="K658" s="90">
        <v>0</v>
      </c>
      <c r="L658" s="90">
        <v>0</v>
      </c>
      <c r="M658" s="90">
        <v>0</v>
      </c>
    </row>
    <row r="659">
      <c r="A659" s="3" t="s">
        <v>546</v>
      </c>
      <c r="B659" s="3"/>
      <c r="C659" s="90">
        <v>0</v>
      </c>
      <c r="D659" s="90">
        <v>0</v>
      </c>
      <c r="E659" s="90">
        <v>0</v>
      </c>
      <c r="F659" s="90">
        <v>0</v>
      </c>
      <c r="G659" s="90">
        <v>0</v>
      </c>
      <c r="H659" s="90">
        <v>0</v>
      </c>
      <c r="I659" s="90">
        <v>0</v>
      </c>
      <c r="J659" s="90">
        <v>0</v>
      </c>
      <c r="K659" s="90">
        <v>0</v>
      </c>
      <c r="L659" s="90">
        <v>0</v>
      </c>
      <c r="M659" s="90">
        <v>0</v>
      </c>
    </row>
    <row r="660">
      <c r="A660" s="3" t="s">
        <v>547</v>
      </c>
      <c r="B660" s="3"/>
      <c r="C660" s="90">
        <v>0</v>
      </c>
      <c r="D660" s="90">
        <v>0</v>
      </c>
      <c r="E660" s="90">
        <v>0</v>
      </c>
      <c r="F660" s="90">
        <v>0</v>
      </c>
      <c r="G660" s="90">
        <v>0</v>
      </c>
      <c r="H660" s="90">
        <v>0</v>
      </c>
      <c r="I660" s="90">
        <v>0</v>
      </c>
      <c r="J660" s="90">
        <v>0</v>
      </c>
      <c r="K660" s="90">
        <v>0</v>
      </c>
      <c r="L660" s="90">
        <v>0</v>
      </c>
      <c r="M660" s="90">
        <v>0</v>
      </c>
    </row>
    <row r="661">
      <c r="A661" s="3" t="s">
        <v>548</v>
      </c>
      <c r="B661" s="3"/>
      <c r="C661" s="90">
        <v>0</v>
      </c>
      <c r="D661" s="90">
        <v>0</v>
      </c>
      <c r="E661" s="90">
        <v>0</v>
      </c>
      <c r="F661" s="90">
        <v>0</v>
      </c>
      <c r="G661" s="90">
        <v>0</v>
      </c>
      <c r="H661" s="90">
        <v>0</v>
      </c>
      <c r="I661" s="90">
        <v>0</v>
      </c>
      <c r="J661" s="90">
        <v>0</v>
      </c>
      <c r="K661" s="90">
        <v>0</v>
      </c>
      <c r="L661" s="90">
        <v>0</v>
      </c>
      <c r="M661" s="90">
        <v>0</v>
      </c>
    </row>
    <row r="662">
      <c r="A662" s="3" t="s">
        <v>549</v>
      </c>
      <c r="B662" s="3"/>
      <c r="C662" s="90">
        <v>0</v>
      </c>
      <c r="D662" s="90">
        <v>0</v>
      </c>
      <c r="E662" s="90">
        <v>0</v>
      </c>
      <c r="F662" s="90">
        <v>0</v>
      </c>
      <c r="G662" s="90">
        <v>0</v>
      </c>
      <c r="H662" s="90">
        <v>0</v>
      </c>
      <c r="I662" s="90">
        <v>0</v>
      </c>
      <c r="J662" s="90">
        <v>0</v>
      </c>
      <c r="K662" s="90">
        <v>0</v>
      </c>
      <c r="L662" s="90">
        <v>0</v>
      </c>
      <c r="M662" s="90">
        <v>0</v>
      </c>
    </row>
    <row r="663">
      <c r="A663" s="3" t="s">
        <v>550</v>
      </c>
      <c r="B663" s="3"/>
      <c r="C663" s="90">
        <v>0</v>
      </c>
      <c r="D663" s="90">
        <v>0</v>
      </c>
      <c r="E663" s="90">
        <v>0</v>
      </c>
      <c r="F663" s="90">
        <v>0</v>
      </c>
      <c r="G663" s="90">
        <v>0</v>
      </c>
      <c r="H663" s="90">
        <v>0</v>
      </c>
      <c r="I663" s="90">
        <v>0</v>
      </c>
      <c r="J663" s="90">
        <v>0</v>
      </c>
      <c r="K663" s="90">
        <v>0</v>
      </c>
      <c r="L663" s="90">
        <v>0</v>
      </c>
      <c r="M663" s="90">
        <v>0</v>
      </c>
    </row>
    <row r="664">
      <c r="A664" s="3" t="s">
        <v>551</v>
      </c>
      <c r="B664" s="3"/>
      <c r="C664" s="90">
        <v>0</v>
      </c>
      <c r="D664" s="90">
        <v>0</v>
      </c>
      <c r="E664" s="90"/>
      <c r="F664" s="90">
        <v>0</v>
      </c>
      <c r="G664" s="90"/>
      <c r="H664" s="90">
        <v>0</v>
      </c>
      <c r="I664" s="90"/>
      <c r="J664" s="90"/>
      <c r="K664" s="90"/>
      <c r="L664" s="90"/>
      <c r="M664" s="90">
        <v>0</v>
      </c>
    </row>
    <row r="666">
      <c r="A666" s="25" t="s">
        <v>146</v>
      </c>
      <c r="B666" s="25"/>
      <c r="C666" s="25"/>
      <c r="D666" s="25"/>
      <c r="E666" s="25"/>
      <c r="F666" s="25"/>
      <c r="G666" s="25"/>
      <c r="H666" s="25"/>
      <c r="I666" s="25"/>
      <c r="J666" s="25"/>
      <c r="K666" s="25"/>
      <c r="L666" s="24"/>
      <c r="M666" s="24"/>
    </row>
    <row r="669">
      <c r="A669" s="22" t="s">
        <v>363</v>
      </c>
      <c r="C669" s="22" t="s">
        <v>502</v>
      </c>
      <c r="D669" s="22"/>
      <c r="E669" s="22"/>
      <c r="F669" s="22"/>
      <c r="G669" s="22"/>
      <c r="H669" s="22"/>
      <c r="I669" s="22"/>
      <c r="J669" s="22"/>
      <c r="K669" s="22"/>
      <c r="L669" s="22"/>
      <c r="M669" s="22"/>
    </row>
    <row r="670">
      <c r="A670" s="22"/>
      <c r="C670" s="22">
        <v>2026</v>
      </c>
      <c r="D670" s="22">
        <v>2027</v>
      </c>
      <c r="E670" s="22">
        <v>2028</v>
      </c>
      <c r="F670" s="22">
        <v>2029</v>
      </c>
      <c r="G670" s="22">
        <v>2030</v>
      </c>
      <c r="H670" s="22">
        <v>2031</v>
      </c>
      <c r="I670" s="22">
        <v>2032</v>
      </c>
      <c r="J670" s="22">
        <v>2033</v>
      </c>
      <c r="K670" s="22">
        <v>2034</v>
      </c>
      <c r="L670" s="22">
        <v>2035</v>
      </c>
      <c r="M670" s="22">
        <v>2036</v>
      </c>
    </row>
    <row r="671">
      <c r="A671" s="3" t="s">
        <v>504</v>
      </c>
      <c r="B671" s="3"/>
      <c r="C671" s="82">
        <v>0</v>
      </c>
      <c r="D671" s="82">
        <v>0</v>
      </c>
      <c r="E671" s="82">
        <v>0</v>
      </c>
      <c r="F671" s="82">
        <v>0</v>
      </c>
      <c r="G671" s="82">
        <v>0</v>
      </c>
      <c r="H671" s="82">
        <v>0</v>
      </c>
      <c r="I671" s="82">
        <v>0</v>
      </c>
      <c r="J671" s="82">
        <v>0</v>
      </c>
      <c r="K671" s="82">
        <v>0</v>
      </c>
      <c r="L671" s="82">
        <v>0</v>
      </c>
      <c r="M671" s="82">
        <v>0</v>
      </c>
    </row>
    <row r="672">
      <c r="A672" s="3" t="s">
        <v>506</v>
      </c>
      <c r="B672" s="3"/>
      <c r="C672" s="83">
        <v>0</v>
      </c>
      <c r="D672" s="83">
        <v>0</v>
      </c>
      <c r="E672" s="83">
        <v>0</v>
      </c>
      <c r="F672" s="83">
        <v>0</v>
      </c>
      <c r="G672" s="83">
        <v>0</v>
      </c>
      <c r="H672" s="83">
        <v>0</v>
      </c>
      <c r="I672" s="83">
        <v>0</v>
      </c>
      <c r="J672" s="83">
        <v>0</v>
      </c>
      <c r="K672" s="83">
        <v>0</v>
      </c>
      <c r="L672" s="83">
        <v>0</v>
      </c>
      <c r="M672" s="83">
        <v>0</v>
      </c>
    </row>
    <row r="673">
      <c r="A673" s="3" t="s">
        <v>507</v>
      </c>
      <c r="B673" s="3"/>
      <c r="C673" s="83">
        <v>0</v>
      </c>
      <c r="D673" s="83">
        <v>0</v>
      </c>
      <c r="E673" s="83">
        <v>0</v>
      </c>
      <c r="F673" s="83">
        <v>0</v>
      </c>
      <c r="G673" s="83">
        <v>0</v>
      </c>
      <c r="H673" s="83">
        <v>0</v>
      </c>
      <c r="I673" s="83">
        <v>0</v>
      </c>
      <c r="J673" s="83">
        <v>0</v>
      </c>
      <c r="K673" s="83">
        <v>0</v>
      </c>
      <c r="L673" s="83">
        <v>0</v>
      </c>
      <c r="M673" s="83">
        <v>0</v>
      </c>
    </row>
    <row r="674">
      <c r="A674" s="3" t="s">
        <v>508</v>
      </c>
      <c r="B674" s="3"/>
      <c r="C674" s="83">
        <v>0</v>
      </c>
      <c r="D674" s="83">
        <v>0</v>
      </c>
      <c r="E674" s="83">
        <v>0</v>
      </c>
      <c r="F674" s="83">
        <v>0</v>
      </c>
      <c r="G674" s="83">
        <v>0</v>
      </c>
      <c r="H674" s="83">
        <v>0</v>
      </c>
      <c r="I674" s="83">
        <v>0</v>
      </c>
      <c r="J674" s="83">
        <v>0</v>
      </c>
      <c r="K674" s="83">
        <v>0</v>
      </c>
      <c r="L674" s="83">
        <v>0</v>
      </c>
      <c r="M674" s="83">
        <v>0</v>
      </c>
    </row>
    <row r="675">
      <c r="A675" s="3" t="s">
        <v>509</v>
      </c>
      <c r="B675" s="3"/>
      <c r="C675" s="83">
        <v>0</v>
      </c>
      <c r="D675" s="83">
        <v>0</v>
      </c>
      <c r="E675" s="83">
        <v>0</v>
      </c>
      <c r="F675" s="83">
        <v>0</v>
      </c>
      <c r="G675" s="83">
        <v>0</v>
      </c>
      <c r="H675" s="83">
        <v>0</v>
      </c>
      <c r="I675" s="83">
        <v>0</v>
      </c>
      <c r="J675" s="83">
        <v>0</v>
      </c>
      <c r="K675" s="83">
        <v>0</v>
      </c>
      <c r="L675" s="83">
        <v>0</v>
      </c>
      <c r="M675" s="83">
        <v>0</v>
      </c>
    </row>
    <row r="676">
      <c r="A676" s="3" t="s">
        <v>510</v>
      </c>
      <c r="B676" s="3"/>
      <c r="C676" s="83">
        <v>0</v>
      </c>
      <c r="D676" s="83">
        <v>0</v>
      </c>
      <c r="E676" s="83">
        <v>0</v>
      </c>
      <c r="F676" s="83">
        <v>0</v>
      </c>
      <c r="G676" s="83">
        <v>0</v>
      </c>
      <c r="H676" s="83">
        <v>0</v>
      </c>
      <c r="I676" s="83">
        <v>0</v>
      </c>
      <c r="J676" s="83">
        <v>0</v>
      </c>
      <c r="K676" s="83">
        <v>0</v>
      </c>
      <c r="L676" s="83">
        <v>0</v>
      </c>
      <c r="M676" s="83">
        <v>0</v>
      </c>
    </row>
    <row r="680">
      <c r="A680" s="22" t="s">
        <v>529</v>
      </c>
      <c r="C680" s="22" t="s">
        <v>363</v>
      </c>
      <c r="D680" s="22"/>
      <c r="E680" s="22"/>
      <c r="F680" s="22"/>
      <c r="G680" s="22"/>
      <c r="H680" s="22"/>
      <c r="I680" s="22"/>
      <c r="J680" s="22"/>
      <c r="K680" s="22"/>
      <c r="L680" s="22"/>
      <c r="M680" s="22"/>
    </row>
    <row r="681">
      <c r="A681" s="22"/>
      <c r="B681" s="3"/>
      <c r="C681" s="22">
        <v>2026</v>
      </c>
      <c r="D681" s="22">
        <v>2027</v>
      </c>
      <c r="E681" s="22">
        <v>2028</v>
      </c>
      <c r="F681" s="22">
        <v>2029</v>
      </c>
      <c r="G681" s="22">
        <v>2030</v>
      </c>
      <c r="H681" s="22">
        <v>2031</v>
      </c>
      <c r="I681" s="22">
        <v>2032</v>
      </c>
      <c r="J681" s="22">
        <v>2033</v>
      </c>
      <c r="K681" s="22">
        <v>2034</v>
      </c>
      <c r="L681" s="22">
        <v>2035</v>
      </c>
      <c r="M681" s="22">
        <v>2036</v>
      </c>
      <c r="N681" s="22" t="s">
        <v>530</v>
      </c>
    </row>
    <row r="682">
      <c r="A682" s="3" t="s">
        <v>117</v>
      </c>
      <c r="B682" s="3"/>
      <c r="C682" s="74">
        <v>0</v>
      </c>
      <c r="D682" s="74">
        <v>0</v>
      </c>
      <c r="E682" s="74">
        <v>0</v>
      </c>
      <c r="F682" s="74">
        <v>0</v>
      </c>
      <c r="G682" s="74">
        <v>0</v>
      </c>
      <c r="H682" s="74">
        <v>0</v>
      </c>
      <c r="I682" s="74">
        <v>0</v>
      </c>
      <c r="J682" s="74">
        <v>0</v>
      </c>
      <c r="K682" s="74">
        <v>0</v>
      </c>
      <c r="L682" s="74">
        <v>0</v>
      </c>
      <c r="M682" s="74">
        <v>0</v>
      </c>
      <c r="N682" s="78">
        <f>Sum(C682:M682)</f>
        <v>0</v>
      </c>
      <c r="O682" s="76" t="e">
        <f>(N682/N689)</f>
        <v>#DIV/0!</v>
      </c>
      <c r="P682" s="0" t="s">
        <v>531</v>
      </c>
    </row>
    <row r="683">
      <c r="A683" s="3" t="s">
        <v>121</v>
      </c>
      <c r="B683" s="3"/>
      <c r="C683" s="74">
        <v>0</v>
      </c>
      <c r="D683" s="74">
        <v>0</v>
      </c>
      <c r="E683" s="74">
        <v>0</v>
      </c>
      <c r="F683" s="74">
        <v>0</v>
      </c>
      <c r="G683" s="74">
        <v>0</v>
      </c>
      <c r="H683" s="74">
        <v>0</v>
      </c>
      <c r="I683" s="74">
        <v>0</v>
      </c>
      <c r="J683" s="74">
        <v>0</v>
      </c>
      <c r="K683" s="74">
        <v>0</v>
      </c>
      <c r="L683" s="74">
        <v>0</v>
      </c>
      <c r="M683" s="74">
        <v>0</v>
      </c>
      <c r="N683" s="78">
        <f>Sum(C683:M683)</f>
        <v>0</v>
      </c>
      <c r="O683" s="76" t="e">
        <f>(N683/N689)</f>
        <v>#DIV/0!</v>
      </c>
      <c r="P683" s="0" t="s">
        <v>532</v>
      </c>
    </row>
    <row r="684">
      <c r="A684" s="3" t="s">
        <v>122</v>
      </c>
      <c r="B684" s="3"/>
      <c r="C684" s="74">
        <v>0</v>
      </c>
      <c r="D684" s="74">
        <v>0</v>
      </c>
      <c r="E684" s="74">
        <v>0</v>
      </c>
      <c r="F684" s="74">
        <v>0</v>
      </c>
      <c r="G684" s="74">
        <v>0</v>
      </c>
      <c r="H684" s="74">
        <v>0</v>
      </c>
      <c r="I684" s="74">
        <v>0</v>
      </c>
      <c r="J684" s="74">
        <v>0</v>
      </c>
      <c r="K684" s="74">
        <v>0</v>
      </c>
      <c r="L684" s="74">
        <v>0</v>
      </c>
      <c r="M684" s="74">
        <v>0</v>
      </c>
      <c r="N684" s="78">
        <f>Sum(C684:M684)</f>
        <v>0</v>
      </c>
      <c r="O684" s="76" t="e">
        <f>(N684/N689)</f>
        <v>#DIV/0!</v>
      </c>
      <c r="P684" s="0" t="s">
        <v>533</v>
      </c>
    </row>
    <row r="685">
      <c r="A685" s="3" t="s">
        <v>124</v>
      </c>
      <c r="B685" s="3"/>
      <c r="C685" s="74">
        <v>0</v>
      </c>
      <c r="D685" s="74">
        <v>0</v>
      </c>
      <c r="E685" s="74">
        <v>0</v>
      </c>
      <c r="F685" s="74">
        <v>0</v>
      </c>
      <c r="G685" s="74">
        <v>0</v>
      </c>
      <c r="H685" s="74">
        <v>0</v>
      </c>
      <c r="I685" s="74">
        <v>0</v>
      </c>
      <c r="J685" s="74">
        <v>0</v>
      </c>
      <c r="K685" s="74">
        <v>0</v>
      </c>
      <c r="L685" s="74">
        <v>0</v>
      </c>
      <c r="M685" s="74">
        <v>0</v>
      </c>
      <c r="N685" s="78">
        <f>Sum(C685:M685)</f>
        <v>0</v>
      </c>
      <c r="O685" s="76" t="e">
        <f>(N685/N689)</f>
        <v>#DIV/0!</v>
      </c>
      <c r="P685" s="0" t="s">
        <v>534</v>
      </c>
    </row>
    <row r="686">
      <c r="A686" s="3" t="s">
        <v>535</v>
      </c>
      <c r="B686" s="3"/>
      <c r="C686" s="74">
        <v>0</v>
      </c>
      <c r="D686" s="74">
        <v>0</v>
      </c>
      <c r="E686" s="74">
        <v>0</v>
      </c>
      <c r="F686" s="74">
        <v>0</v>
      </c>
      <c r="G686" s="74">
        <v>0</v>
      </c>
      <c r="H686" s="74">
        <v>0</v>
      </c>
      <c r="I686" s="74">
        <v>0</v>
      </c>
      <c r="J686" s="74">
        <v>0</v>
      </c>
      <c r="K686" s="74">
        <v>0</v>
      </c>
      <c r="L686" s="74">
        <v>0</v>
      </c>
      <c r="M686" s="74">
        <v>0</v>
      </c>
      <c r="N686" s="78">
        <f>Sum(C686:M686)</f>
        <v>0</v>
      </c>
      <c r="O686" s="76" t="e">
        <f>(N686/N689)</f>
        <v>#DIV/0!</v>
      </c>
      <c r="P686" s="0" t="s">
        <v>536</v>
      </c>
    </row>
    <row r="687">
      <c r="A687" s="3" t="s">
        <v>537</v>
      </c>
      <c r="B687" s="3"/>
      <c r="C687" s="74">
        <v>0</v>
      </c>
      <c r="D687" s="74">
        <v>0</v>
      </c>
      <c r="E687" s="74">
        <v>0</v>
      </c>
      <c r="F687" s="74">
        <v>0</v>
      </c>
      <c r="G687" s="74">
        <v>0</v>
      </c>
      <c r="H687" s="74">
        <v>0</v>
      </c>
      <c r="I687" s="74">
        <v>0</v>
      </c>
      <c r="J687" s="74">
        <v>0</v>
      </c>
      <c r="K687" s="74">
        <v>0</v>
      </c>
      <c r="L687" s="74">
        <v>0</v>
      </c>
      <c r="M687" s="74">
        <v>0</v>
      </c>
      <c r="N687" s="78">
        <f>Sum(C687:M687)</f>
        <v>0</v>
      </c>
      <c r="O687" s="76" t="e">
        <f>(N687/N689)</f>
        <v>#DIV/0!</v>
      </c>
      <c r="P687" s="0" t="s">
        <v>538</v>
      </c>
    </row>
    <row r="688">
      <c r="A688" s="3" t="s">
        <v>539</v>
      </c>
      <c r="B688" s="3"/>
      <c r="C688" s="74">
        <v>0</v>
      </c>
      <c r="D688" s="74">
        <v>0</v>
      </c>
      <c r="E688" s="74">
        <v>0</v>
      </c>
      <c r="F688" s="74">
        <v>0</v>
      </c>
      <c r="G688" s="74">
        <v>0</v>
      </c>
      <c r="H688" s="74">
        <v>0</v>
      </c>
      <c r="I688" s="74">
        <v>0</v>
      </c>
      <c r="J688" s="74">
        <v>0</v>
      </c>
      <c r="K688" s="74">
        <v>0</v>
      </c>
      <c r="L688" s="74">
        <v>0</v>
      </c>
      <c r="M688" s="74">
        <v>0</v>
      </c>
      <c r="N688" s="78">
        <f>Sum(C688:M688)</f>
        <v>0</v>
      </c>
      <c r="O688" s="76" t="e">
        <f>(N688/N689)</f>
        <v>#DIV/0!</v>
      </c>
      <c r="P688" s="0" t="s">
        <v>540</v>
      </c>
    </row>
    <row r="689">
      <c r="A689" s="3" t="s">
        <v>541</v>
      </c>
      <c r="B689" s="3"/>
      <c r="C689" s="74"/>
      <c r="D689" s="74"/>
      <c r="E689" s="74"/>
      <c r="F689" s="74"/>
      <c r="G689" s="74"/>
      <c r="H689" s="74"/>
      <c r="I689" s="74"/>
      <c r="J689" s="74"/>
      <c r="K689" s="74"/>
      <c r="L689" s="74"/>
      <c r="M689" s="74"/>
      <c r="N689" s="78">
        <f>Sum(C689:M689)</f>
        <v>0</v>
      </c>
    </row>
    <row r="690">
      <c r="A690" s="3"/>
      <c r="B690" s="3"/>
      <c r="C690" s="74"/>
      <c r="D690" s="74"/>
      <c r="E690" s="74"/>
      <c r="F690" s="74"/>
      <c r="G690" s="74"/>
      <c r="H690" s="74"/>
      <c r="I690" s="74"/>
      <c r="J690" s="74"/>
      <c r="K690" s="74"/>
      <c r="L690" s="74"/>
      <c r="M690" s="74"/>
      <c r="N690" s="78"/>
    </row>
    <row r="691">
      <c r="A691" s="3" t="s">
        <v>542</v>
      </c>
      <c r="B691" s="3"/>
      <c r="C691" s="74">
        <v>0</v>
      </c>
      <c r="D691" s="74">
        <v>0</v>
      </c>
      <c r="E691" s="74">
        <v>0</v>
      </c>
      <c r="F691" s="74">
        <v>0</v>
      </c>
      <c r="G691" s="74">
        <v>0</v>
      </c>
      <c r="H691" s="74">
        <v>0</v>
      </c>
      <c r="I691" s="74">
        <v>0</v>
      </c>
      <c r="J691" s="74">
        <v>0</v>
      </c>
      <c r="K691" s="74">
        <v>0</v>
      </c>
      <c r="L691" s="74">
        <v>0</v>
      </c>
      <c r="M691" s="74">
        <v>0</v>
      </c>
      <c r="N691" s="78">
        <f>Sum(C691:M691)</f>
        <v>0</v>
      </c>
    </row>
    <row r="693">
      <c r="A693" s="22" t="s">
        <v>543</v>
      </c>
      <c r="C693" s="22" t="s">
        <v>363</v>
      </c>
      <c r="D693" s="22"/>
      <c r="E693" s="22"/>
      <c r="F693" s="22"/>
      <c r="G693" s="22"/>
      <c r="H693" s="22"/>
      <c r="I693" s="22"/>
      <c r="J693" s="22"/>
      <c r="K693" s="22"/>
      <c r="L693" s="22"/>
      <c r="M693" s="22"/>
    </row>
    <row r="694">
      <c r="A694" s="22"/>
      <c r="C694" s="22">
        <v>2026</v>
      </c>
      <c r="D694" s="22">
        <v>2027</v>
      </c>
      <c r="E694" s="22">
        <v>2028</v>
      </c>
      <c r="F694" s="22">
        <v>2029</v>
      </c>
      <c r="G694" s="22">
        <v>2030</v>
      </c>
      <c r="H694" s="22">
        <v>2031</v>
      </c>
      <c r="I694" s="22">
        <v>2032</v>
      </c>
      <c r="J694" s="22">
        <v>2033</v>
      </c>
      <c r="K694" s="22">
        <v>2034</v>
      </c>
      <c r="L694" s="22">
        <v>2035</v>
      </c>
      <c r="M694" s="22">
        <v>2036</v>
      </c>
    </row>
    <row r="695">
      <c r="A695" s="3"/>
      <c r="B695" s="3"/>
      <c r="C695" s="74"/>
      <c r="D695" s="74"/>
      <c r="E695" s="74"/>
      <c r="F695" s="74"/>
      <c r="G695" s="74"/>
      <c r="H695" s="74"/>
      <c r="I695" s="74"/>
      <c r="J695" s="74"/>
      <c r="K695" s="74"/>
      <c r="L695" s="74"/>
      <c r="M695" s="74"/>
      <c r="N695" s="78">
        <f>Sum(C695:M695)</f>
        <v>0</v>
      </c>
    </row>
    <row r="698">
      <c r="A698" s="22" t="s">
        <v>473</v>
      </c>
      <c r="C698" s="22" t="s">
        <v>544</v>
      </c>
      <c r="D698" s="22"/>
      <c r="E698" s="22"/>
      <c r="F698" s="22"/>
      <c r="G698" s="22"/>
      <c r="H698" s="22"/>
      <c r="I698" s="22"/>
      <c r="J698" s="22"/>
      <c r="K698" s="22"/>
      <c r="L698" s="22"/>
      <c r="M698" s="22"/>
    </row>
    <row r="699">
      <c r="A699" s="22"/>
      <c r="C699" s="22">
        <v>2026</v>
      </c>
      <c r="D699" s="22">
        <v>2027</v>
      </c>
      <c r="E699" s="22">
        <v>2028</v>
      </c>
      <c r="F699" s="22">
        <v>2029</v>
      </c>
      <c r="G699" s="22">
        <v>2030</v>
      </c>
      <c r="H699" s="22">
        <v>2031</v>
      </c>
      <c r="I699" s="22">
        <v>2032</v>
      </c>
      <c r="J699" s="22">
        <v>2033</v>
      </c>
      <c r="K699" s="22">
        <v>2034</v>
      </c>
      <c r="L699" s="22">
        <v>2035</v>
      </c>
      <c r="M699" s="22">
        <v>2036</v>
      </c>
    </row>
    <row r="700">
      <c r="A700" s="3" t="s">
        <v>545</v>
      </c>
      <c r="B700" s="3"/>
      <c r="C700" s="90">
        <v>0</v>
      </c>
      <c r="D700" s="90">
        <v>0</v>
      </c>
      <c r="E700" s="90">
        <v>0</v>
      </c>
      <c r="F700" s="90">
        <v>0</v>
      </c>
      <c r="G700" s="90">
        <v>0</v>
      </c>
      <c r="H700" s="90">
        <v>0</v>
      </c>
      <c r="I700" s="90">
        <v>0</v>
      </c>
      <c r="J700" s="90">
        <v>0</v>
      </c>
      <c r="K700" s="90">
        <v>0</v>
      </c>
      <c r="L700" s="90">
        <v>0</v>
      </c>
      <c r="M700" s="90">
        <v>0</v>
      </c>
    </row>
    <row r="701">
      <c r="A701" s="3" t="s">
        <v>546</v>
      </c>
      <c r="B701" s="3"/>
      <c r="C701" s="90">
        <v>0</v>
      </c>
      <c r="D701" s="90">
        <v>0</v>
      </c>
      <c r="E701" s="90">
        <v>0</v>
      </c>
      <c r="F701" s="90">
        <v>0</v>
      </c>
      <c r="G701" s="90">
        <v>0</v>
      </c>
      <c r="H701" s="90">
        <v>0</v>
      </c>
      <c r="I701" s="90">
        <v>0</v>
      </c>
      <c r="J701" s="90">
        <v>0</v>
      </c>
      <c r="K701" s="90">
        <v>0</v>
      </c>
      <c r="L701" s="90">
        <v>0</v>
      </c>
      <c r="M701" s="90">
        <v>0</v>
      </c>
    </row>
    <row r="702">
      <c r="A702" s="3" t="s">
        <v>547</v>
      </c>
      <c r="B702" s="3"/>
      <c r="C702" s="90">
        <v>0</v>
      </c>
      <c r="D702" s="90">
        <v>0</v>
      </c>
      <c r="E702" s="90">
        <v>0</v>
      </c>
      <c r="F702" s="90">
        <v>0</v>
      </c>
      <c r="G702" s="90">
        <v>0</v>
      </c>
      <c r="H702" s="90">
        <v>0</v>
      </c>
      <c r="I702" s="90">
        <v>0</v>
      </c>
      <c r="J702" s="90">
        <v>0</v>
      </c>
      <c r="K702" s="90">
        <v>0</v>
      </c>
      <c r="L702" s="90">
        <v>0</v>
      </c>
      <c r="M702" s="90">
        <v>0</v>
      </c>
    </row>
    <row r="703">
      <c r="A703" s="3" t="s">
        <v>548</v>
      </c>
      <c r="B703" s="3"/>
      <c r="C703" s="90">
        <v>0</v>
      </c>
      <c r="D703" s="90">
        <v>0</v>
      </c>
      <c r="E703" s="90">
        <v>0</v>
      </c>
      <c r="F703" s="90">
        <v>0</v>
      </c>
      <c r="G703" s="90">
        <v>0</v>
      </c>
      <c r="H703" s="90">
        <v>0</v>
      </c>
      <c r="I703" s="90">
        <v>0</v>
      </c>
      <c r="J703" s="90">
        <v>0</v>
      </c>
      <c r="K703" s="90">
        <v>0</v>
      </c>
      <c r="L703" s="90">
        <v>0</v>
      </c>
      <c r="M703" s="90">
        <v>0</v>
      </c>
    </row>
    <row r="704">
      <c r="A704" s="3" t="s">
        <v>549</v>
      </c>
      <c r="B704" s="3"/>
      <c r="C704" s="90">
        <v>0</v>
      </c>
      <c r="D704" s="90">
        <v>0</v>
      </c>
      <c r="E704" s="90">
        <v>0</v>
      </c>
      <c r="F704" s="90">
        <v>0</v>
      </c>
      <c r="G704" s="90">
        <v>0</v>
      </c>
      <c r="H704" s="90">
        <v>0</v>
      </c>
      <c r="I704" s="90">
        <v>0</v>
      </c>
      <c r="J704" s="90">
        <v>0</v>
      </c>
      <c r="K704" s="90">
        <v>0</v>
      </c>
      <c r="L704" s="90">
        <v>0</v>
      </c>
      <c r="M704" s="90">
        <v>0</v>
      </c>
    </row>
    <row r="705">
      <c r="A705" s="3" t="s">
        <v>550</v>
      </c>
      <c r="B705" s="3"/>
      <c r="C705" s="90">
        <v>0</v>
      </c>
      <c r="D705" s="90">
        <v>0</v>
      </c>
      <c r="E705" s="90">
        <v>0</v>
      </c>
      <c r="F705" s="90">
        <v>0</v>
      </c>
      <c r="G705" s="90">
        <v>0</v>
      </c>
      <c r="H705" s="90">
        <v>0</v>
      </c>
      <c r="I705" s="90">
        <v>0</v>
      </c>
      <c r="J705" s="90">
        <v>0</v>
      </c>
      <c r="K705" s="90">
        <v>0</v>
      </c>
      <c r="L705" s="90">
        <v>0</v>
      </c>
      <c r="M705" s="90">
        <v>0</v>
      </c>
    </row>
    <row r="706">
      <c r="A706" s="3" t="s">
        <v>551</v>
      </c>
      <c r="B706" s="3"/>
      <c r="C706" s="90">
        <v>0</v>
      </c>
      <c r="D706" s="90">
        <v>0</v>
      </c>
      <c r="E706" s="90"/>
      <c r="F706" s="90">
        <v>0</v>
      </c>
      <c r="G706" s="90"/>
      <c r="H706" s="90">
        <v>0</v>
      </c>
      <c r="I706" s="90"/>
      <c r="J706" s="90"/>
      <c r="K706" s="90"/>
      <c r="L706" s="90"/>
      <c r="M706" s="90">
        <v>0</v>
      </c>
    </row>
    <row r="708">
      <c r="A708" s="25" t="s">
        <v>147</v>
      </c>
      <c r="B708" s="25"/>
      <c r="C708" s="25"/>
      <c r="D708" s="25"/>
      <c r="E708" s="25"/>
      <c r="F708" s="25"/>
      <c r="G708" s="25"/>
      <c r="H708" s="25"/>
      <c r="I708" s="25"/>
      <c r="J708" s="25"/>
      <c r="K708" s="25"/>
      <c r="L708" s="24"/>
      <c r="M708" s="24"/>
    </row>
    <row r="711">
      <c r="A711" s="22" t="s">
        <v>363</v>
      </c>
      <c r="C711" s="22" t="s">
        <v>502</v>
      </c>
      <c r="D711" s="22"/>
      <c r="E711" s="22"/>
      <c r="F711" s="22"/>
      <c r="G711" s="22"/>
      <c r="H711" s="22"/>
      <c r="I711" s="22"/>
      <c r="J711" s="22"/>
      <c r="K711" s="22"/>
      <c r="L711" s="22"/>
      <c r="M711" s="22"/>
    </row>
    <row r="712">
      <c r="A712" s="22"/>
      <c r="C712" s="22">
        <v>2026</v>
      </c>
      <c r="D712" s="22">
        <v>2027</v>
      </c>
      <c r="E712" s="22">
        <v>2028</v>
      </c>
      <c r="F712" s="22">
        <v>2029</v>
      </c>
      <c r="G712" s="22">
        <v>2030</v>
      </c>
      <c r="H712" s="22">
        <v>2031</v>
      </c>
      <c r="I712" s="22">
        <v>2032</v>
      </c>
      <c r="J712" s="22">
        <v>2033</v>
      </c>
      <c r="K712" s="22">
        <v>2034</v>
      </c>
      <c r="L712" s="22">
        <v>2035</v>
      </c>
      <c r="M712" s="22">
        <v>2036</v>
      </c>
    </row>
    <row r="713">
      <c r="A713" s="3" t="s">
        <v>504</v>
      </c>
      <c r="B713" s="3"/>
      <c r="C713" s="82">
        <v>0</v>
      </c>
      <c r="D713" s="82">
        <v>0</v>
      </c>
      <c r="E713" s="82">
        <v>0</v>
      </c>
      <c r="F713" s="82">
        <v>0</v>
      </c>
      <c r="G713" s="82">
        <v>0</v>
      </c>
      <c r="H713" s="82">
        <v>0</v>
      </c>
      <c r="I713" s="82">
        <v>0</v>
      </c>
      <c r="J713" s="82">
        <v>0</v>
      </c>
      <c r="K713" s="82">
        <v>0</v>
      </c>
      <c r="L713" s="82">
        <v>0</v>
      </c>
      <c r="M713" s="82">
        <v>0</v>
      </c>
    </row>
    <row r="714">
      <c r="A714" s="3" t="s">
        <v>506</v>
      </c>
      <c r="B714" s="3"/>
      <c r="C714" s="83">
        <v>0</v>
      </c>
      <c r="D714" s="83">
        <v>0</v>
      </c>
      <c r="E714" s="83">
        <v>0</v>
      </c>
      <c r="F714" s="83">
        <v>0</v>
      </c>
      <c r="G714" s="83">
        <v>0</v>
      </c>
      <c r="H714" s="83">
        <v>0</v>
      </c>
      <c r="I714" s="83">
        <v>0</v>
      </c>
      <c r="J714" s="83">
        <v>0</v>
      </c>
      <c r="K714" s="83">
        <v>0</v>
      </c>
      <c r="L714" s="83">
        <v>0</v>
      </c>
      <c r="M714" s="83">
        <v>0</v>
      </c>
    </row>
    <row r="715">
      <c r="A715" s="3" t="s">
        <v>507</v>
      </c>
      <c r="B715" s="3"/>
      <c r="C715" s="83">
        <v>0</v>
      </c>
      <c r="D715" s="83">
        <v>0</v>
      </c>
      <c r="E715" s="83">
        <v>0</v>
      </c>
      <c r="F715" s="83">
        <v>0</v>
      </c>
      <c r="G715" s="83">
        <v>0</v>
      </c>
      <c r="H715" s="83">
        <v>0</v>
      </c>
      <c r="I715" s="83">
        <v>0</v>
      </c>
      <c r="J715" s="83">
        <v>0</v>
      </c>
      <c r="K715" s="83">
        <v>0</v>
      </c>
      <c r="L715" s="83">
        <v>0</v>
      </c>
      <c r="M715" s="83">
        <v>0</v>
      </c>
    </row>
    <row r="716">
      <c r="A716" s="3" t="s">
        <v>508</v>
      </c>
      <c r="B716" s="3"/>
      <c r="C716" s="83">
        <v>0</v>
      </c>
      <c r="D716" s="83">
        <v>0</v>
      </c>
      <c r="E716" s="83">
        <v>0</v>
      </c>
      <c r="F716" s="83">
        <v>0</v>
      </c>
      <c r="G716" s="83">
        <v>0</v>
      </c>
      <c r="H716" s="83">
        <v>0</v>
      </c>
      <c r="I716" s="83">
        <v>0</v>
      </c>
      <c r="J716" s="83">
        <v>0</v>
      </c>
      <c r="K716" s="83">
        <v>0</v>
      </c>
      <c r="L716" s="83">
        <v>0</v>
      </c>
      <c r="M716" s="83">
        <v>0</v>
      </c>
    </row>
    <row r="717">
      <c r="A717" s="3" t="s">
        <v>509</v>
      </c>
      <c r="B717" s="3"/>
      <c r="C717" s="83">
        <v>0</v>
      </c>
      <c r="D717" s="83">
        <v>0</v>
      </c>
      <c r="E717" s="83">
        <v>0</v>
      </c>
      <c r="F717" s="83">
        <v>0</v>
      </c>
      <c r="G717" s="83">
        <v>0</v>
      </c>
      <c r="H717" s="83">
        <v>0</v>
      </c>
      <c r="I717" s="83">
        <v>0</v>
      </c>
      <c r="J717" s="83">
        <v>0</v>
      </c>
      <c r="K717" s="83">
        <v>0</v>
      </c>
      <c r="L717" s="83">
        <v>0</v>
      </c>
      <c r="M717" s="83">
        <v>0</v>
      </c>
    </row>
    <row r="718">
      <c r="A718" s="3" t="s">
        <v>510</v>
      </c>
      <c r="B718" s="3"/>
      <c r="C718" s="83">
        <v>0</v>
      </c>
      <c r="D718" s="83">
        <v>0</v>
      </c>
      <c r="E718" s="83">
        <v>0</v>
      </c>
      <c r="F718" s="83">
        <v>0</v>
      </c>
      <c r="G718" s="83">
        <v>0</v>
      </c>
      <c r="H718" s="83">
        <v>0</v>
      </c>
      <c r="I718" s="83">
        <v>0</v>
      </c>
      <c r="J718" s="83">
        <v>0</v>
      </c>
      <c r="K718" s="83">
        <v>0</v>
      </c>
      <c r="L718" s="83">
        <v>0</v>
      </c>
      <c r="M718" s="83">
        <v>0</v>
      </c>
    </row>
    <row r="722">
      <c r="A722" s="22" t="s">
        <v>529</v>
      </c>
      <c r="C722" s="22" t="s">
        <v>363</v>
      </c>
      <c r="D722" s="22"/>
      <c r="E722" s="22"/>
      <c r="F722" s="22"/>
      <c r="G722" s="22"/>
      <c r="H722" s="22"/>
      <c r="I722" s="22"/>
      <c r="J722" s="22"/>
      <c r="K722" s="22"/>
      <c r="L722" s="22"/>
      <c r="M722" s="22"/>
    </row>
    <row r="723">
      <c r="A723" s="22"/>
      <c r="B723" s="3"/>
      <c r="C723" s="22">
        <v>2026</v>
      </c>
      <c r="D723" s="22">
        <v>2027</v>
      </c>
      <c r="E723" s="22">
        <v>2028</v>
      </c>
      <c r="F723" s="22">
        <v>2029</v>
      </c>
      <c r="G723" s="22">
        <v>2030</v>
      </c>
      <c r="H723" s="22">
        <v>2031</v>
      </c>
      <c r="I723" s="22">
        <v>2032</v>
      </c>
      <c r="J723" s="22">
        <v>2033</v>
      </c>
      <c r="K723" s="22">
        <v>2034</v>
      </c>
      <c r="L723" s="22">
        <v>2035</v>
      </c>
      <c r="M723" s="22">
        <v>2036</v>
      </c>
      <c r="N723" s="22" t="s">
        <v>530</v>
      </c>
    </row>
    <row r="724">
      <c r="A724" s="3" t="s">
        <v>117</v>
      </c>
      <c r="B724" s="3"/>
      <c r="C724" s="74">
        <v>0</v>
      </c>
      <c r="D724" s="74">
        <v>0</v>
      </c>
      <c r="E724" s="74">
        <v>0</v>
      </c>
      <c r="F724" s="74">
        <v>0</v>
      </c>
      <c r="G724" s="74">
        <v>0</v>
      </c>
      <c r="H724" s="74">
        <v>0</v>
      </c>
      <c r="I724" s="74">
        <v>0</v>
      </c>
      <c r="J724" s="74">
        <v>0</v>
      </c>
      <c r="K724" s="74">
        <v>0</v>
      </c>
      <c r="L724" s="74">
        <v>0</v>
      </c>
      <c r="M724" s="74">
        <v>0</v>
      </c>
      <c r="N724" s="78">
        <f>Sum(C724:M724)</f>
        <v>0</v>
      </c>
      <c r="O724" s="76" t="e">
        <f>(N724/N731)</f>
        <v>#DIV/0!</v>
      </c>
      <c r="P724" s="0" t="s">
        <v>531</v>
      </c>
    </row>
    <row r="725">
      <c r="A725" s="3" t="s">
        <v>121</v>
      </c>
      <c r="B725" s="3"/>
      <c r="C725" s="74">
        <v>0</v>
      </c>
      <c r="D725" s="74">
        <v>0</v>
      </c>
      <c r="E725" s="74">
        <v>0</v>
      </c>
      <c r="F725" s="74">
        <v>0</v>
      </c>
      <c r="G725" s="74">
        <v>0</v>
      </c>
      <c r="H725" s="74">
        <v>0</v>
      </c>
      <c r="I725" s="74">
        <v>0</v>
      </c>
      <c r="J725" s="74">
        <v>0</v>
      </c>
      <c r="K725" s="74">
        <v>0</v>
      </c>
      <c r="L725" s="74">
        <v>0</v>
      </c>
      <c r="M725" s="74">
        <v>0</v>
      </c>
      <c r="N725" s="78">
        <f>Sum(C725:M725)</f>
        <v>0</v>
      </c>
      <c r="O725" s="76" t="e">
        <f>(N725/N731)</f>
        <v>#DIV/0!</v>
      </c>
      <c r="P725" s="0" t="s">
        <v>532</v>
      </c>
    </row>
    <row r="726">
      <c r="A726" s="3" t="s">
        <v>122</v>
      </c>
      <c r="B726" s="3"/>
      <c r="C726" s="74">
        <v>0</v>
      </c>
      <c r="D726" s="74">
        <v>0</v>
      </c>
      <c r="E726" s="74">
        <v>0</v>
      </c>
      <c r="F726" s="74">
        <v>0</v>
      </c>
      <c r="G726" s="74">
        <v>0</v>
      </c>
      <c r="H726" s="74">
        <v>0</v>
      </c>
      <c r="I726" s="74">
        <v>0</v>
      </c>
      <c r="J726" s="74">
        <v>0</v>
      </c>
      <c r="K726" s="74">
        <v>0</v>
      </c>
      <c r="L726" s="74">
        <v>0</v>
      </c>
      <c r="M726" s="74">
        <v>0</v>
      </c>
      <c r="N726" s="78">
        <f>Sum(C726:M726)</f>
        <v>0</v>
      </c>
      <c r="O726" s="76" t="e">
        <f>(N726/N731)</f>
        <v>#DIV/0!</v>
      </c>
      <c r="P726" s="0" t="s">
        <v>533</v>
      </c>
    </row>
    <row r="727">
      <c r="A727" s="3" t="s">
        <v>124</v>
      </c>
      <c r="B727" s="3"/>
      <c r="C727" s="74">
        <v>0</v>
      </c>
      <c r="D727" s="74">
        <v>0</v>
      </c>
      <c r="E727" s="74">
        <v>0</v>
      </c>
      <c r="F727" s="74">
        <v>0</v>
      </c>
      <c r="G727" s="74">
        <v>0</v>
      </c>
      <c r="H727" s="74">
        <v>0</v>
      </c>
      <c r="I727" s="74">
        <v>0</v>
      </c>
      <c r="J727" s="74">
        <v>0</v>
      </c>
      <c r="K727" s="74">
        <v>0</v>
      </c>
      <c r="L727" s="74">
        <v>0</v>
      </c>
      <c r="M727" s="74">
        <v>0</v>
      </c>
      <c r="N727" s="78">
        <f>Sum(C727:M727)</f>
        <v>0</v>
      </c>
      <c r="O727" s="76" t="e">
        <f>(N727/N731)</f>
        <v>#DIV/0!</v>
      </c>
      <c r="P727" s="0" t="s">
        <v>534</v>
      </c>
    </row>
    <row r="728">
      <c r="A728" s="3" t="s">
        <v>535</v>
      </c>
      <c r="B728" s="3"/>
      <c r="C728" s="74">
        <v>0</v>
      </c>
      <c r="D728" s="74">
        <v>0</v>
      </c>
      <c r="E728" s="74">
        <v>0</v>
      </c>
      <c r="F728" s="74">
        <v>0</v>
      </c>
      <c r="G728" s="74">
        <v>0</v>
      </c>
      <c r="H728" s="74">
        <v>0</v>
      </c>
      <c r="I728" s="74">
        <v>0</v>
      </c>
      <c r="J728" s="74">
        <v>0</v>
      </c>
      <c r="K728" s="74">
        <v>0</v>
      </c>
      <c r="L728" s="74">
        <v>0</v>
      </c>
      <c r="M728" s="74">
        <v>0</v>
      </c>
      <c r="N728" s="78">
        <f>Sum(C728:M728)</f>
        <v>0</v>
      </c>
      <c r="O728" s="76" t="e">
        <f>(N728/N731)</f>
        <v>#DIV/0!</v>
      </c>
      <c r="P728" s="0" t="s">
        <v>536</v>
      </c>
    </row>
    <row r="729">
      <c r="A729" s="3" t="s">
        <v>537</v>
      </c>
      <c r="B729" s="3"/>
      <c r="C729" s="74">
        <v>0</v>
      </c>
      <c r="D729" s="74">
        <v>0</v>
      </c>
      <c r="E729" s="74">
        <v>0</v>
      </c>
      <c r="F729" s="74">
        <v>0</v>
      </c>
      <c r="G729" s="74">
        <v>0</v>
      </c>
      <c r="H729" s="74">
        <v>0</v>
      </c>
      <c r="I729" s="74">
        <v>0</v>
      </c>
      <c r="J729" s="74">
        <v>0</v>
      </c>
      <c r="K729" s="74">
        <v>0</v>
      </c>
      <c r="L729" s="74">
        <v>0</v>
      </c>
      <c r="M729" s="74">
        <v>0</v>
      </c>
      <c r="N729" s="78">
        <f>Sum(C729:M729)</f>
        <v>0</v>
      </c>
      <c r="O729" s="76" t="e">
        <f>(N729/N731)</f>
        <v>#DIV/0!</v>
      </c>
      <c r="P729" s="0" t="s">
        <v>538</v>
      </c>
    </row>
    <row r="730">
      <c r="A730" s="3" t="s">
        <v>539</v>
      </c>
      <c r="B730" s="3"/>
      <c r="C730" s="74">
        <v>0</v>
      </c>
      <c r="D730" s="74">
        <v>0</v>
      </c>
      <c r="E730" s="74">
        <v>0</v>
      </c>
      <c r="F730" s="74">
        <v>0</v>
      </c>
      <c r="G730" s="74">
        <v>0</v>
      </c>
      <c r="H730" s="74">
        <v>0</v>
      </c>
      <c r="I730" s="74">
        <v>0</v>
      </c>
      <c r="J730" s="74">
        <v>0</v>
      </c>
      <c r="K730" s="74">
        <v>0</v>
      </c>
      <c r="L730" s="74">
        <v>0</v>
      </c>
      <c r="M730" s="74">
        <v>0</v>
      </c>
      <c r="N730" s="78">
        <f>Sum(C730:M730)</f>
        <v>0</v>
      </c>
      <c r="O730" s="76" t="e">
        <f>(N730/N731)</f>
        <v>#DIV/0!</v>
      </c>
      <c r="P730" s="0" t="s">
        <v>540</v>
      </c>
    </row>
    <row r="731">
      <c r="A731" s="3" t="s">
        <v>541</v>
      </c>
      <c r="B731" s="3"/>
      <c r="C731" s="74"/>
      <c r="D731" s="74"/>
      <c r="E731" s="74"/>
      <c r="F731" s="74"/>
      <c r="G731" s="74"/>
      <c r="H731" s="74"/>
      <c r="I731" s="74"/>
      <c r="J731" s="74"/>
      <c r="K731" s="74"/>
      <c r="L731" s="74"/>
      <c r="M731" s="74"/>
      <c r="N731" s="78">
        <f>Sum(C731:M731)</f>
        <v>0</v>
      </c>
    </row>
    <row r="732">
      <c r="A732" s="3"/>
      <c r="B732" s="3"/>
      <c r="C732" s="74"/>
      <c r="D732" s="74"/>
      <c r="E732" s="74"/>
      <c r="F732" s="74"/>
      <c r="G732" s="74"/>
      <c r="H732" s="74"/>
      <c r="I732" s="74"/>
      <c r="J732" s="74"/>
      <c r="K732" s="74"/>
      <c r="L732" s="74"/>
      <c r="M732" s="74"/>
      <c r="N732" s="78"/>
    </row>
    <row r="733">
      <c r="A733" s="3" t="s">
        <v>542</v>
      </c>
      <c r="B733" s="3"/>
      <c r="C733" s="74">
        <v>0</v>
      </c>
      <c r="D733" s="74">
        <v>0</v>
      </c>
      <c r="E733" s="74">
        <v>0</v>
      </c>
      <c r="F733" s="74">
        <v>0</v>
      </c>
      <c r="G733" s="74">
        <v>0</v>
      </c>
      <c r="H733" s="74">
        <v>0</v>
      </c>
      <c r="I733" s="74">
        <v>0</v>
      </c>
      <c r="J733" s="74">
        <v>0</v>
      </c>
      <c r="K733" s="74">
        <v>0</v>
      </c>
      <c r="L733" s="74">
        <v>0</v>
      </c>
      <c r="M733" s="74">
        <v>0</v>
      </c>
      <c r="N733" s="78">
        <f>Sum(C733:M733)</f>
        <v>0</v>
      </c>
    </row>
    <row r="735">
      <c r="A735" s="22" t="s">
        <v>543</v>
      </c>
      <c r="C735" s="22" t="s">
        <v>363</v>
      </c>
      <c r="D735" s="22"/>
      <c r="E735" s="22"/>
      <c r="F735" s="22"/>
      <c r="G735" s="22"/>
      <c r="H735" s="22"/>
      <c r="I735" s="22"/>
      <c r="J735" s="22"/>
      <c r="K735" s="22"/>
      <c r="L735" s="22"/>
      <c r="M735" s="22"/>
    </row>
    <row r="736">
      <c r="A736" s="22"/>
      <c r="C736" s="22">
        <v>2026</v>
      </c>
      <c r="D736" s="22">
        <v>2027</v>
      </c>
      <c r="E736" s="22">
        <v>2028</v>
      </c>
      <c r="F736" s="22">
        <v>2029</v>
      </c>
      <c r="G736" s="22">
        <v>2030</v>
      </c>
      <c r="H736" s="22">
        <v>2031</v>
      </c>
      <c r="I736" s="22">
        <v>2032</v>
      </c>
      <c r="J736" s="22">
        <v>2033</v>
      </c>
      <c r="K736" s="22">
        <v>2034</v>
      </c>
      <c r="L736" s="22">
        <v>2035</v>
      </c>
      <c r="M736" s="22">
        <v>2036</v>
      </c>
    </row>
    <row r="737">
      <c r="A737" s="3"/>
      <c r="B737" s="3"/>
      <c r="C737" s="74"/>
      <c r="D737" s="74"/>
      <c r="E737" s="74"/>
      <c r="F737" s="74"/>
      <c r="G737" s="74"/>
      <c r="H737" s="74"/>
      <c r="I737" s="74"/>
      <c r="J737" s="74"/>
      <c r="K737" s="74"/>
      <c r="L737" s="74"/>
      <c r="M737" s="74"/>
      <c r="N737" s="78">
        <f>Sum(C737:M737)</f>
        <v>0</v>
      </c>
    </row>
    <row r="740">
      <c r="A740" s="22" t="s">
        <v>473</v>
      </c>
      <c r="C740" s="22" t="s">
        <v>544</v>
      </c>
      <c r="D740" s="22"/>
      <c r="E740" s="22"/>
      <c r="F740" s="22"/>
      <c r="G740" s="22"/>
      <c r="H740" s="22"/>
      <c r="I740" s="22"/>
      <c r="J740" s="22"/>
      <c r="K740" s="22"/>
      <c r="L740" s="22"/>
      <c r="M740" s="22"/>
    </row>
    <row r="741">
      <c r="A741" s="22"/>
      <c r="C741" s="22">
        <v>2026</v>
      </c>
      <c r="D741" s="22">
        <v>2027</v>
      </c>
      <c r="E741" s="22">
        <v>2028</v>
      </c>
      <c r="F741" s="22">
        <v>2029</v>
      </c>
      <c r="G741" s="22">
        <v>2030</v>
      </c>
      <c r="H741" s="22">
        <v>2031</v>
      </c>
      <c r="I741" s="22">
        <v>2032</v>
      </c>
      <c r="J741" s="22">
        <v>2033</v>
      </c>
      <c r="K741" s="22">
        <v>2034</v>
      </c>
      <c r="L741" s="22">
        <v>2035</v>
      </c>
      <c r="M741" s="22">
        <v>2036</v>
      </c>
    </row>
    <row r="742">
      <c r="A742" s="3" t="s">
        <v>545</v>
      </c>
      <c r="B742" s="3"/>
      <c r="C742" s="90">
        <v>0</v>
      </c>
      <c r="D742" s="90">
        <v>0</v>
      </c>
      <c r="E742" s="90">
        <v>0</v>
      </c>
      <c r="F742" s="90">
        <v>0</v>
      </c>
      <c r="G742" s="90">
        <v>0</v>
      </c>
      <c r="H742" s="90">
        <v>0</v>
      </c>
      <c r="I742" s="90">
        <v>0</v>
      </c>
      <c r="J742" s="90">
        <v>0</v>
      </c>
      <c r="K742" s="90">
        <v>0</v>
      </c>
      <c r="L742" s="90">
        <v>0</v>
      </c>
      <c r="M742" s="90">
        <v>0</v>
      </c>
    </row>
    <row r="743">
      <c r="A743" s="3" t="s">
        <v>546</v>
      </c>
      <c r="B743" s="3"/>
      <c r="C743" s="90">
        <v>0</v>
      </c>
      <c r="D743" s="90">
        <v>0</v>
      </c>
      <c r="E743" s="90">
        <v>0</v>
      </c>
      <c r="F743" s="90">
        <v>0</v>
      </c>
      <c r="G743" s="90">
        <v>0</v>
      </c>
      <c r="H743" s="90">
        <v>0</v>
      </c>
      <c r="I743" s="90">
        <v>0</v>
      </c>
      <c r="J743" s="90">
        <v>0</v>
      </c>
      <c r="K743" s="90">
        <v>0</v>
      </c>
      <c r="L743" s="90">
        <v>0</v>
      </c>
      <c r="M743" s="90">
        <v>0</v>
      </c>
    </row>
    <row r="744">
      <c r="A744" s="3" t="s">
        <v>547</v>
      </c>
      <c r="B744" s="3"/>
      <c r="C744" s="90">
        <v>0</v>
      </c>
      <c r="D744" s="90">
        <v>0</v>
      </c>
      <c r="E744" s="90">
        <v>0</v>
      </c>
      <c r="F744" s="90">
        <v>0</v>
      </c>
      <c r="G744" s="90">
        <v>0</v>
      </c>
      <c r="H744" s="90">
        <v>0</v>
      </c>
      <c r="I744" s="90">
        <v>0</v>
      </c>
      <c r="J744" s="90">
        <v>0</v>
      </c>
      <c r="K744" s="90">
        <v>0</v>
      </c>
      <c r="L744" s="90">
        <v>0</v>
      </c>
      <c r="M744" s="90">
        <v>0</v>
      </c>
    </row>
    <row r="745">
      <c r="A745" s="3" t="s">
        <v>548</v>
      </c>
      <c r="B745" s="3"/>
      <c r="C745" s="90">
        <v>0</v>
      </c>
      <c r="D745" s="90">
        <v>0</v>
      </c>
      <c r="E745" s="90">
        <v>0</v>
      </c>
      <c r="F745" s="90">
        <v>0</v>
      </c>
      <c r="G745" s="90">
        <v>0</v>
      </c>
      <c r="H745" s="90">
        <v>0</v>
      </c>
      <c r="I745" s="90">
        <v>0</v>
      </c>
      <c r="J745" s="90">
        <v>0</v>
      </c>
      <c r="K745" s="90">
        <v>0</v>
      </c>
      <c r="L745" s="90">
        <v>0</v>
      </c>
      <c r="M745" s="90">
        <v>0</v>
      </c>
    </row>
    <row r="746">
      <c r="A746" s="3" t="s">
        <v>549</v>
      </c>
      <c r="B746" s="3"/>
      <c r="C746" s="90">
        <v>0</v>
      </c>
      <c r="D746" s="90">
        <v>0</v>
      </c>
      <c r="E746" s="90">
        <v>0</v>
      </c>
      <c r="F746" s="90">
        <v>0</v>
      </c>
      <c r="G746" s="90">
        <v>0</v>
      </c>
      <c r="H746" s="90">
        <v>0</v>
      </c>
      <c r="I746" s="90">
        <v>0</v>
      </c>
      <c r="J746" s="90">
        <v>0</v>
      </c>
      <c r="K746" s="90">
        <v>0</v>
      </c>
      <c r="L746" s="90">
        <v>0</v>
      </c>
      <c r="M746" s="90">
        <v>0</v>
      </c>
    </row>
    <row r="747">
      <c r="A747" s="3" t="s">
        <v>550</v>
      </c>
      <c r="B747" s="3"/>
      <c r="C747" s="90">
        <v>0</v>
      </c>
      <c r="D747" s="90">
        <v>0</v>
      </c>
      <c r="E747" s="90">
        <v>0</v>
      </c>
      <c r="F747" s="90">
        <v>0</v>
      </c>
      <c r="G747" s="90">
        <v>0</v>
      </c>
      <c r="H747" s="90">
        <v>0</v>
      </c>
      <c r="I747" s="90">
        <v>0</v>
      </c>
      <c r="J747" s="90">
        <v>0</v>
      </c>
      <c r="K747" s="90">
        <v>0</v>
      </c>
      <c r="L747" s="90">
        <v>0</v>
      </c>
      <c r="M747" s="90">
        <v>0</v>
      </c>
    </row>
    <row r="748">
      <c r="A748" s="3" t="s">
        <v>551</v>
      </c>
      <c r="B748" s="3"/>
      <c r="C748" s="90">
        <v>0</v>
      </c>
      <c r="D748" s="90">
        <v>0</v>
      </c>
      <c r="E748" s="90"/>
      <c r="F748" s="90">
        <v>0</v>
      </c>
      <c r="G748" s="90"/>
      <c r="H748" s="90">
        <v>0</v>
      </c>
      <c r="I748" s="90"/>
      <c r="J748" s="90"/>
      <c r="K748" s="90"/>
      <c r="L748" s="90"/>
      <c r="M748" s="90">
        <v>0</v>
      </c>
    </row>
    <row r="750">
      <c r="A750" s="25" t="s">
        <v>148</v>
      </c>
      <c r="B750" s="25"/>
      <c r="C750" s="25"/>
      <c r="D750" s="25"/>
      <c r="E750" s="25"/>
      <c r="F750" s="25"/>
      <c r="G750" s="25"/>
      <c r="H750" s="25"/>
      <c r="I750" s="25"/>
      <c r="J750" s="25"/>
      <c r="K750" s="25"/>
      <c r="L750" s="24"/>
      <c r="M750" s="24"/>
    </row>
    <row r="753">
      <c r="A753" s="22" t="s">
        <v>363</v>
      </c>
      <c r="C753" s="22" t="s">
        <v>502</v>
      </c>
      <c r="D753" s="22"/>
      <c r="E753" s="22"/>
      <c r="F753" s="22"/>
      <c r="G753" s="22"/>
      <c r="H753" s="22"/>
      <c r="I753" s="22"/>
      <c r="J753" s="22"/>
      <c r="K753" s="22"/>
      <c r="L753" s="22"/>
      <c r="M753" s="22"/>
    </row>
    <row r="754">
      <c r="A754" s="22"/>
      <c r="C754" s="22">
        <v>2026</v>
      </c>
      <c r="D754" s="22">
        <v>2027</v>
      </c>
      <c r="E754" s="22">
        <v>2028</v>
      </c>
      <c r="F754" s="22">
        <v>2029</v>
      </c>
      <c r="G754" s="22">
        <v>2030</v>
      </c>
      <c r="H754" s="22">
        <v>2031</v>
      </c>
      <c r="I754" s="22">
        <v>2032</v>
      </c>
      <c r="J754" s="22">
        <v>2033</v>
      </c>
      <c r="K754" s="22">
        <v>2034</v>
      </c>
      <c r="L754" s="22">
        <v>2035</v>
      </c>
      <c r="M754" s="22">
        <v>2036</v>
      </c>
    </row>
    <row r="755">
      <c r="A755" s="3" t="s">
        <v>504</v>
      </c>
      <c r="B755" s="3"/>
      <c r="C755" s="82">
        <v>0</v>
      </c>
      <c r="D755" s="82">
        <v>0</v>
      </c>
      <c r="E755" s="82">
        <v>0</v>
      </c>
      <c r="F755" s="82">
        <v>0</v>
      </c>
      <c r="G755" s="82">
        <v>0</v>
      </c>
      <c r="H755" s="82">
        <v>0</v>
      </c>
      <c r="I755" s="82">
        <v>0</v>
      </c>
      <c r="J755" s="82">
        <v>0</v>
      </c>
      <c r="K755" s="82">
        <v>0</v>
      </c>
      <c r="L755" s="82">
        <v>0</v>
      </c>
      <c r="M755" s="82">
        <v>0</v>
      </c>
    </row>
    <row r="756">
      <c r="A756" s="3" t="s">
        <v>506</v>
      </c>
      <c r="B756" s="3"/>
      <c r="C756" s="83">
        <v>0</v>
      </c>
      <c r="D756" s="83">
        <v>0</v>
      </c>
      <c r="E756" s="83">
        <v>0</v>
      </c>
      <c r="F756" s="83">
        <v>0</v>
      </c>
      <c r="G756" s="83">
        <v>0</v>
      </c>
      <c r="H756" s="83">
        <v>0</v>
      </c>
      <c r="I756" s="83">
        <v>0</v>
      </c>
      <c r="J756" s="83">
        <v>0</v>
      </c>
      <c r="K756" s="83">
        <v>0</v>
      </c>
      <c r="L756" s="83">
        <v>0</v>
      </c>
      <c r="M756" s="83">
        <v>0</v>
      </c>
    </row>
    <row r="757">
      <c r="A757" s="3" t="s">
        <v>507</v>
      </c>
      <c r="B757" s="3"/>
      <c r="C757" s="83">
        <v>0</v>
      </c>
      <c r="D757" s="83">
        <v>0</v>
      </c>
      <c r="E757" s="83">
        <v>0</v>
      </c>
      <c r="F757" s="83">
        <v>0</v>
      </c>
      <c r="G757" s="83">
        <v>0</v>
      </c>
      <c r="H757" s="83">
        <v>0</v>
      </c>
      <c r="I757" s="83">
        <v>0</v>
      </c>
      <c r="J757" s="83">
        <v>0</v>
      </c>
      <c r="K757" s="83">
        <v>0</v>
      </c>
      <c r="L757" s="83">
        <v>0</v>
      </c>
      <c r="M757" s="83">
        <v>0</v>
      </c>
    </row>
    <row r="758">
      <c r="A758" s="3" t="s">
        <v>508</v>
      </c>
      <c r="B758" s="3"/>
      <c r="C758" s="83">
        <v>0</v>
      </c>
      <c r="D758" s="83">
        <v>0</v>
      </c>
      <c r="E758" s="83">
        <v>0</v>
      </c>
      <c r="F758" s="83">
        <v>0</v>
      </c>
      <c r="G758" s="83">
        <v>0</v>
      </c>
      <c r="H758" s="83">
        <v>0</v>
      </c>
      <c r="I758" s="83">
        <v>0</v>
      </c>
      <c r="J758" s="83">
        <v>0</v>
      </c>
      <c r="K758" s="83">
        <v>0</v>
      </c>
      <c r="L758" s="83">
        <v>0</v>
      </c>
      <c r="M758" s="83">
        <v>0</v>
      </c>
    </row>
    <row r="759">
      <c r="A759" s="3" t="s">
        <v>509</v>
      </c>
      <c r="B759" s="3"/>
      <c r="C759" s="83">
        <v>0</v>
      </c>
      <c r="D759" s="83">
        <v>0</v>
      </c>
      <c r="E759" s="83">
        <v>0</v>
      </c>
      <c r="F759" s="83">
        <v>0</v>
      </c>
      <c r="G759" s="83">
        <v>0</v>
      </c>
      <c r="H759" s="83">
        <v>0</v>
      </c>
      <c r="I759" s="83">
        <v>0</v>
      </c>
      <c r="J759" s="83">
        <v>0</v>
      </c>
      <c r="K759" s="83">
        <v>0</v>
      </c>
      <c r="L759" s="83">
        <v>0</v>
      </c>
      <c r="M759" s="83">
        <v>0</v>
      </c>
    </row>
    <row r="760">
      <c r="A760" s="3" t="s">
        <v>510</v>
      </c>
      <c r="B760" s="3"/>
      <c r="C760" s="83">
        <v>0</v>
      </c>
      <c r="D760" s="83">
        <v>0</v>
      </c>
      <c r="E760" s="83">
        <v>0</v>
      </c>
      <c r="F760" s="83">
        <v>0</v>
      </c>
      <c r="G760" s="83">
        <v>0</v>
      </c>
      <c r="H760" s="83">
        <v>0</v>
      </c>
      <c r="I760" s="83">
        <v>0</v>
      </c>
      <c r="J760" s="83">
        <v>0</v>
      </c>
      <c r="K760" s="83">
        <v>0</v>
      </c>
      <c r="L760" s="83">
        <v>0</v>
      </c>
      <c r="M760" s="83">
        <v>0</v>
      </c>
    </row>
    <row r="764">
      <c r="A764" s="22" t="s">
        <v>529</v>
      </c>
      <c r="C764" s="22" t="s">
        <v>363</v>
      </c>
      <c r="D764" s="22"/>
      <c r="E764" s="22"/>
      <c r="F764" s="22"/>
      <c r="G764" s="22"/>
      <c r="H764" s="22"/>
      <c r="I764" s="22"/>
      <c r="J764" s="22"/>
      <c r="K764" s="22"/>
      <c r="L764" s="22"/>
      <c r="M764" s="22"/>
    </row>
    <row r="765">
      <c r="A765" s="22"/>
      <c r="B765" s="3"/>
      <c r="C765" s="22">
        <v>2026</v>
      </c>
      <c r="D765" s="22">
        <v>2027</v>
      </c>
      <c r="E765" s="22">
        <v>2028</v>
      </c>
      <c r="F765" s="22">
        <v>2029</v>
      </c>
      <c r="G765" s="22">
        <v>2030</v>
      </c>
      <c r="H765" s="22">
        <v>2031</v>
      </c>
      <c r="I765" s="22">
        <v>2032</v>
      </c>
      <c r="J765" s="22">
        <v>2033</v>
      </c>
      <c r="K765" s="22">
        <v>2034</v>
      </c>
      <c r="L765" s="22">
        <v>2035</v>
      </c>
      <c r="M765" s="22">
        <v>2036</v>
      </c>
      <c r="N765" s="22" t="s">
        <v>530</v>
      </c>
    </row>
    <row r="766">
      <c r="A766" s="3" t="s">
        <v>117</v>
      </c>
      <c r="B766" s="3"/>
      <c r="C766" s="74">
        <v>0</v>
      </c>
      <c r="D766" s="74">
        <v>0</v>
      </c>
      <c r="E766" s="74">
        <v>0</v>
      </c>
      <c r="F766" s="74">
        <v>0</v>
      </c>
      <c r="G766" s="74">
        <v>0</v>
      </c>
      <c r="H766" s="74">
        <v>0</v>
      </c>
      <c r="I766" s="74">
        <v>0</v>
      </c>
      <c r="J766" s="74">
        <v>0</v>
      </c>
      <c r="K766" s="74">
        <v>0</v>
      </c>
      <c r="L766" s="74">
        <v>0</v>
      </c>
      <c r="M766" s="74">
        <v>0</v>
      </c>
      <c r="N766" s="78">
        <f>Sum(C766:M766)</f>
        <v>0</v>
      </c>
      <c r="O766" s="76" t="e">
        <f>(N766/N773)</f>
        <v>#DIV/0!</v>
      </c>
      <c r="P766" s="0" t="s">
        <v>531</v>
      </c>
    </row>
    <row r="767">
      <c r="A767" s="3" t="s">
        <v>121</v>
      </c>
      <c r="B767" s="3"/>
      <c r="C767" s="74">
        <v>0</v>
      </c>
      <c r="D767" s="74">
        <v>0</v>
      </c>
      <c r="E767" s="74">
        <v>0</v>
      </c>
      <c r="F767" s="74">
        <v>0</v>
      </c>
      <c r="G767" s="74">
        <v>0</v>
      </c>
      <c r="H767" s="74">
        <v>0</v>
      </c>
      <c r="I767" s="74">
        <v>0</v>
      </c>
      <c r="J767" s="74">
        <v>0</v>
      </c>
      <c r="K767" s="74">
        <v>0</v>
      </c>
      <c r="L767" s="74">
        <v>0</v>
      </c>
      <c r="M767" s="74">
        <v>0</v>
      </c>
      <c r="N767" s="78">
        <f>Sum(C767:M767)</f>
        <v>0</v>
      </c>
      <c r="O767" s="76" t="e">
        <f>(N767/N773)</f>
        <v>#DIV/0!</v>
      </c>
      <c r="P767" s="0" t="s">
        <v>532</v>
      </c>
    </row>
    <row r="768">
      <c r="A768" s="3" t="s">
        <v>122</v>
      </c>
      <c r="B768" s="3"/>
      <c r="C768" s="74">
        <v>0</v>
      </c>
      <c r="D768" s="74">
        <v>0</v>
      </c>
      <c r="E768" s="74">
        <v>0</v>
      </c>
      <c r="F768" s="74">
        <v>0</v>
      </c>
      <c r="G768" s="74">
        <v>0</v>
      </c>
      <c r="H768" s="74">
        <v>0</v>
      </c>
      <c r="I768" s="74">
        <v>0</v>
      </c>
      <c r="J768" s="74">
        <v>0</v>
      </c>
      <c r="K768" s="74">
        <v>0</v>
      </c>
      <c r="L768" s="74">
        <v>0</v>
      </c>
      <c r="M768" s="74">
        <v>0</v>
      </c>
      <c r="N768" s="78">
        <f>Sum(C768:M768)</f>
        <v>0</v>
      </c>
      <c r="O768" s="76" t="e">
        <f>(N768/N773)</f>
        <v>#DIV/0!</v>
      </c>
      <c r="P768" s="0" t="s">
        <v>533</v>
      </c>
    </row>
    <row r="769">
      <c r="A769" s="3" t="s">
        <v>124</v>
      </c>
      <c r="B769" s="3"/>
      <c r="C769" s="74">
        <v>0</v>
      </c>
      <c r="D769" s="74">
        <v>0</v>
      </c>
      <c r="E769" s="74">
        <v>0</v>
      </c>
      <c r="F769" s="74">
        <v>0</v>
      </c>
      <c r="G769" s="74">
        <v>0</v>
      </c>
      <c r="H769" s="74">
        <v>0</v>
      </c>
      <c r="I769" s="74">
        <v>0</v>
      </c>
      <c r="J769" s="74">
        <v>0</v>
      </c>
      <c r="K769" s="74">
        <v>0</v>
      </c>
      <c r="L769" s="74">
        <v>0</v>
      </c>
      <c r="M769" s="74">
        <v>0</v>
      </c>
      <c r="N769" s="78">
        <f>Sum(C769:M769)</f>
        <v>0</v>
      </c>
      <c r="O769" s="76" t="e">
        <f>(N769/N773)</f>
        <v>#DIV/0!</v>
      </c>
      <c r="P769" s="0" t="s">
        <v>534</v>
      </c>
    </row>
    <row r="770">
      <c r="A770" s="3" t="s">
        <v>535</v>
      </c>
      <c r="B770" s="3"/>
      <c r="C770" s="74">
        <v>0</v>
      </c>
      <c r="D770" s="74">
        <v>0</v>
      </c>
      <c r="E770" s="74">
        <v>0</v>
      </c>
      <c r="F770" s="74">
        <v>0</v>
      </c>
      <c r="G770" s="74">
        <v>0</v>
      </c>
      <c r="H770" s="74">
        <v>0</v>
      </c>
      <c r="I770" s="74">
        <v>0</v>
      </c>
      <c r="J770" s="74">
        <v>0</v>
      </c>
      <c r="K770" s="74">
        <v>0</v>
      </c>
      <c r="L770" s="74">
        <v>0</v>
      </c>
      <c r="M770" s="74">
        <v>0</v>
      </c>
      <c r="N770" s="78">
        <f>Sum(C770:M770)</f>
        <v>0</v>
      </c>
      <c r="O770" s="76" t="e">
        <f>(N770/N773)</f>
        <v>#DIV/0!</v>
      </c>
      <c r="P770" s="0" t="s">
        <v>536</v>
      </c>
    </row>
    <row r="771">
      <c r="A771" s="3" t="s">
        <v>537</v>
      </c>
      <c r="B771" s="3"/>
      <c r="C771" s="74">
        <v>0</v>
      </c>
      <c r="D771" s="74">
        <v>0</v>
      </c>
      <c r="E771" s="74">
        <v>0</v>
      </c>
      <c r="F771" s="74">
        <v>0</v>
      </c>
      <c r="G771" s="74">
        <v>0</v>
      </c>
      <c r="H771" s="74">
        <v>0</v>
      </c>
      <c r="I771" s="74">
        <v>0</v>
      </c>
      <c r="J771" s="74">
        <v>0</v>
      </c>
      <c r="K771" s="74">
        <v>0</v>
      </c>
      <c r="L771" s="74">
        <v>0</v>
      </c>
      <c r="M771" s="74">
        <v>0</v>
      </c>
      <c r="N771" s="78">
        <f>Sum(C771:M771)</f>
        <v>0</v>
      </c>
      <c r="O771" s="76" t="e">
        <f>(N771/N773)</f>
        <v>#DIV/0!</v>
      </c>
      <c r="P771" s="0" t="s">
        <v>538</v>
      </c>
    </row>
    <row r="772">
      <c r="A772" s="3" t="s">
        <v>539</v>
      </c>
      <c r="B772" s="3"/>
      <c r="C772" s="74">
        <v>0</v>
      </c>
      <c r="D772" s="74">
        <v>0</v>
      </c>
      <c r="E772" s="74">
        <v>0</v>
      </c>
      <c r="F772" s="74">
        <v>0</v>
      </c>
      <c r="G772" s="74">
        <v>0</v>
      </c>
      <c r="H772" s="74">
        <v>0</v>
      </c>
      <c r="I772" s="74">
        <v>0</v>
      </c>
      <c r="J772" s="74">
        <v>0</v>
      </c>
      <c r="K772" s="74">
        <v>0</v>
      </c>
      <c r="L772" s="74">
        <v>0</v>
      </c>
      <c r="M772" s="74">
        <v>0</v>
      </c>
      <c r="N772" s="78">
        <f>Sum(C772:M772)</f>
        <v>0</v>
      </c>
      <c r="O772" s="76" t="e">
        <f>(N772/N773)</f>
        <v>#DIV/0!</v>
      </c>
      <c r="P772" s="0" t="s">
        <v>540</v>
      </c>
    </row>
    <row r="773">
      <c r="A773" s="3" t="s">
        <v>541</v>
      </c>
      <c r="B773" s="3"/>
      <c r="C773" s="74"/>
      <c r="D773" s="74"/>
      <c r="E773" s="74"/>
      <c r="F773" s="74"/>
      <c r="G773" s="74"/>
      <c r="H773" s="74"/>
      <c r="I773" s="74"/>
      <c r="J773" s="74"/>
      <c r="K773" s="74"/>
      <c r="L773" s="74"/>
      <c r="M773" s="74"/>
      <c r="N773" s="78">
        <f>Sum(C773:M773)</f>
        <v>0</v>
      </c>
    </row>
    <row r="774">
      <c r="A774" s="3"/>
      <c r="B774" s="3"/>
      <c r="C774" s="74"/>
      <c r="D774" s="74"/>
      <c r="E774" s="74"/>
      <c r="F774" s="74"/>
      <c r="G774" s="74"/>
      <c r="H774" s="74"/>
      <c r="I774" s="74"/>
      <c r="J774" s="74"/>
      <c r="K774" s="74"/>
      <c r="L774" s="74"/>
      <c r="M774" s="74"/>
      <c r="N774" s="78"/>
    </row>
    <row r="775">
      <c r="A775" s="3" t="s">
        <v>542</v>
      </c>
      <c r="B775" s="3"/>
      <c r="C775" s="74">
        <v>0</v>
      </c>
      <c r="D775" s="74">
        <v>0</v>
      </c>
      <c r="E775" s="74">
        <v>0</v>
      </c>
      <c r="F775" s="74">
        <v>0</v>
      </c>
      <c r="G775" s="74">
        <v>0</v>
      </c>
      <c r="H775" s="74">
        <v>0</v>
      </c>
      <c r="I775" s="74">
        <v>0</v>
      </c>
      <c r="J775" s="74">
        <v>0</v>
      </c>
      <c r="K775" s="74">
        <v>0</v>
      </c>
      <c r="L775" s="74">
        <v>0</v>
      </c>
      <c r="M775" s="74">
        <v>0</v>
      </c>
      <c r="N775" s="78">
        <f>Sum(C775:M775)</f>
        <v>0</v>
      </c>
    </row>
    <row r="777">
      <c r="A777" s="22" t="s">
        <v>543</v>
      </c>
      <c r="C777" s="22" t="s">
        <v>363</v>
      </c>
      <c r="D777" s="22"/>
      <c r="E777" s="22"/>
      <c r="F777" s="22"/>
      <c r="G777" s="22"/>
      <c r="H777" s="22"/>
      <c r="I777" s="22"/>
      <c r="J777" s="22"/>
      <c r="K777" s="22"/>
      <c r="L777" s="22"/>
      <c r="M777" s="22"/>
    </row>
    <row r="778">
      <c r="A778" s="22"/>
      <c r="C778" s="22">
        <v>2026</v>
      </c>
      <c r="D778" s="22">
        <v>2027</v>
      </c>
      <c r="E778" s="22">
        <v>2028</v>
      </c>
      <c r="F778" s="22">
        <v>2029</v>
      </c>
      <c r="G778" s="22">
        <v>2030</v>
      </c>
      <c r="H778" s="22">
        <v>2031</v>
      </c>
      <c r="I778" s="22">
        <v>2032</v>
      </c>
      <c r="J778" s="22">
        <v>2033</v>
      </c>
      <c r="K778" s="22">
        <v>2034</v>
      </c>
      <c r="L778" s="22">
        <v>2035</v>
      </c>
      <c r="M778" s="22">
        <v>2036</v>
      </c>
    </row>
    <row r="779">
      <c r="A779" s="3"/>
      <c r="B779" s="3"/>
      <c r="C779" s="74"/>
      <c r="D779" s="74"/>
      <c r="E779" s="74"/>
      <c r="F779" s="74"/>
      <c r="G779" s="74"/>
      <c r="H779" s="74"/>
      <c r="I779" s="74"/>
      <c r="J779" s="74"/>
      <c r="K779" s="74"/>
      <c r="L779" s="74"/>
      <c r="M779" s="74"/>
      <c r="N779" s="78">
        <f>Sum(C779:M779)</f>
        <v>0</v>
      </c>
    </row>
    <row r="782">
      <c r="A782" s="22" t="s">
        <v>473</v>
      </c>
      <c r="C782" s="22" t="s">
        <v>544</v>
      </c>
      <c r="D782" s="22"/>
      <c r="E782" s="22"/>
      <c r="F782" s="22"/>
      <c r="G782" s="22"/>
      <c r="H782" s="22"/>
      <c r="I782" s="22"/>
      <c r="J782" s="22"/>
      <c r="K782" s="22"/>
      <c r="L782" s="22"/>
      <c r="M782" s="22"/>
    </row>
    <row r="783">
      <c r="A783" s="22"/>
      <c r="C783" s="22">
        <v>2026</v>
      </c>
      <c r="D783" s="22">
        <v>2027</v>
      </c>
      <c r="E783" s="22">
        <v>2028</v>
      </c>
      <c r="F783" s="22">
        <v>2029</v>
      </c>
      <c r="G783" s="22">
        <v>2030</v>
      </c>
      <c r="H783" s="22">
        <v>2031</v>
      </c>
      <c r="I783" s="22">
        <v>2032</v>
      </c>
      <c r="J783" s="22">
        <v>2033</v>
      </c>
      <c r="K783" s="22">
        <v>2034</v>
      </c>
      <c r="L783" s="22">
        <v>2035</v>
      </c>
      <c r="M783" s="22">
        <v>2036</v>
      </c>
    </row>
    <row r="784">
      <c r="A784" s="3" t="s">
        <v>545</v>
      </c>
      <c r="B784" s="3"/>
      <c r="C784" s="90">
        <v>0</v>
      </c>
      <c r="D784" s="90">
        <v>0</v>
      </c>
      <c r="E784" s="90">
        <v>0</v>
      </c>
      <c r="F784" s="90">
        <v>0</v>
      </c>
      <c r="G784" s="90">
        <v>0</v>
      </c>
      <c r="H784" s="90">
        <v>0</v>
      </c>
      <c r="I784" s="90">
        <v>0</v>
      </c>
      <c r="J784" s="90">
        <v>0</v>
      </c>
      <c r="K784" s="90">
        <v>0</v>
      </c>
      <c r="L784" s="90">
        <v>0</v>
      </c>
      <c r="M784" s="90">
        <v>0</v>
      </c>
    </row>
    <row r="785">
      <c r="A785" s="3" t="s">
        <v>546</v>
      </c>
      <c r="B785" s="3"/>
      <c r="C785" s="90">
        <v>0</v>
      </c>
      <c r="D785" s="90">
        <v>0</v>
      </c>
      <c r="E785" s="90">
        <v>0</v>
      </c>
      <c r="F785" s="90">
        <v>0</v>
      </c>
      <c r="G785" s="90">
        <v>0</v>
      </c>
      <c r="H785" s="90">
        <v>0</v>
      </c>
      <c r="I785" s="90">
        <v>0</v>
      </c>
      <c r="J785" s="90">
        <v>0</v>
      </c>
      <c r="K785" s="90">
        <v>0</v>
      </c>
      <c r="L785" s="90">
        <v>0</v>
      </c>
      <c r="M785" s="90">
        <v>0</v>
      </c>
    </row>
    <row r="786">
      <c r="A786" s="3" t="s">
        <v>547</v>
      </c>
      <c r="B786" s="3"/>
      <c r="C786" s="90">
        <v>0</v>
      </c>
      <c r="D786" s="90">
        <v>0</v>
      </c>
      <c r="E786" s="90">
        <v>0</v>
      </c>
      <c r="F786" s="90">
        <v>0</v>
      </c>
      <c r="G786" s="90">
        <v>0</v>
      </c>
      <c r="H786" s="90">
        <v>0</v>
      </c>
      <c r="I786" s="90">
        <v>0</v>
      </c>
      <c r="J786" s="90">
        <v>0</v>
      </c>
      <c r="K786" s="90">
        <v>0</v>
      </c>
      <c r="L786" s="90">
        <v>0</v>
      </c>
      <c r="M786" s="90">
        <v>0</v>
      </c>
    </row>
    <row r="787">
      <c r="A787" s="3" t="s">
        <v>548</v>
      </c>
      <c r="B787" s="3"/>
      <c r="C787" s="90">
        <v>0</v>
      </c>
      <c r="D787" s="90">
        <v>0</v>
      </c>
      <c r="E787" s="90">
        <v>0</v>
      </c>
      <c r="F787" s="90">
        <v>0</v>
      </c>
      <c r="G787" s="90">
        <v>0</v>
      </c>
      <c r="H787" s="90">
        <v>0</v>
      </c>
      <c r="I787" s="90">
        <v>0</v>
      </c>
      <c r="J787" s="90">
        <v>0</v>
      </c>
      <c r="K787" s="90">
        <v>0</v>
      </c>
      <c r="L787" s="90">
        <v>0</v>
      </c>
      <c r="M787" s="90">
        <v>0</v>
      </c>
    </row>
    <row r="788">
      <c r="A788" s="3" t="s">
        <v>549</v>
      </c>
      <c r="B788" s="3"/>
      <c r="C788" s="90">
        <v>0</v>
      </c>
      <c r="D788" s="90">
        <v>0</v>
      </c>
      <c r="E788" s="90">
        <v>0</v>
      </c>
      <c r="F788" s="90">
        <v>0</v>
      </c>
      <c r="G788" s="90">
        <v>0</v>
      </c>
      <c r="H788" s="90">
        <v>0</v>
      </c>
      <c r="I788" s="90">
        <v>0</v>
      </c>
      <c r="J788" s="90">
        <v>0</v>
      </c>
      <c r="K788" s="90">
        <v>0</v>
      </c>
      <c r="L788" s="90">
        <v>0</v>
      </c>
      <c r="M788" s="90">
        <v>0</v>
      </c>
    </row>
    <row r="789">
      <c r="A789" s="3" t="s">
        <v>550</v>
      </c>
      <c r="B789" s="3"/>
      <c r="C789" s="90">
        <v>0</v>
      </c>
      <c r="D789" s="90">
        <v>0</v>
      </c>
      <c r="E789" s="90">
        <v>0</v>
      </c>
      <c r="F789" s="90">
        <v>0</v>
      </c>
      <c r="G789" s="90">
        <v>0</v>
      </c>
      <c r="H789" s="90">
        <v>0</v>
      </c>
      <c r="I789" s="90">
        <v>0</v>
      </c>
      <c r="J789" s="90">
        <v>0</v>
      </c>
      <c r="K789" s="90">
        <v>0</v>
      </c>
      <c r="L789" s="90">
        <v>0</v>
      </c>
      <c r="M789" s="90">
        <v>0</v>
      </c>
    </row>
    <row r="790">
      <c r="A790" s="3" t="s">
        <v>551</v>
      </c>
      <c r="B790" s="3"/>
      <c r="C790" s="90">
        <v>0</v>
      </c>
      <c r="D790" s="90">
        <v>0</v>
      </c>
      <c r="E790" s="90"/>
      <c r="F790" s="90">
        <v>0</v>
      </c>
      <c r="G790" s="90"/>
      <c r="H790" s="90">
        <v>0</v>
      </c>
      <c r="I790" s="90"/>
      <c r="J790" s="90"/>
      <c r="K790" s="90"/>
      <c r="L790" s="90"/>
      <c r="M790" s="90">
        <v>0</v>
      </c>
    </row>
    <row r="792">
      <c r="A792" s="25" t="s">
        <v>149</v>
      </c>
      <c r="B792" s="25"/>
      <c r="C792" s="25"/>
      <c r="D792" s="25"/>
      <c r="E792" s="25"/>
      <c r="F792" s="25"/>
      <c r="G792" s="25"/>
      <c r="H792" s="25"/>
      <c r="I792" s="25"/>
      <c r="J792" s="25"/>
      <c r="K792" s="25"/>
      <c r="L792" s="24"/>
      <c r="M792" s="24"/>
    </row>
    <row r="795">
      <c r="A795" s="22" t="s">
        <v>363</v>
      </c>
      <c r="C795" s="22" t="s">
        <v>502</v>
      </c>
      <c r="D795" s="22"/>
      <c r="E795" s="22"/>
      <c r="F795" s="22"/>
      <c r="G795" s="22"/>
      <c r="H795" s="22"/>
      <c r="I795" s="22"/>
      <c r="J795" s="22"/>
      <c r="K795" s="22"/>
      <c r="L795" s="22"/>
      <c r="M795" s="22"/>
    </row>
    <row r="796">
      <c r="A796" s="22"/>
      <c r="C796" s="22">
        <v>2026</v>
      </c>
      <c r="D796" s="22">
        <v>2027</v>
      </c>
      <c r="E796" s="22">
        <v>2028</v>
      </c>
      <c r="F796" s="22">
        <v>2029</v>
      </c>
      <c r="G796" s="22">
        <v>2030</v>
      </c>
      <c r="H796" s="22">
        <v>2031</v>
      </c>
      <c r="I796" s="22">
        <v>2032</v>
      </c>
      <c r="J796" s="22">
        <v>2033</v>
      </c>
      <c r="K796" s="22">
        <v>2034</v>
      </c>
      <c r="L796" s="22">
        <v>2035</v>
      </c>
      <c r="M796" s="22">
        <v>2036</v>
      </c>
    </row>
    <row r="797">
      <c r="A797" s="3" t="s">
        <v>504</v>
      </c>
      <c r="B797" s="3"/>
      <c r="C797" s="82">
        <v>0</v>
      </c>
      <c r="D797" s="82">
        <v>0</v>
      </c>
      <c r="E797" s="82">
        <v>0</v>
      </c>
      <c r="F797" s="82">
        <v>0</v>
      </c>
      <c r="G797" s="82">
        <v>0</v>
      </c>
      <c r="H797" s="82">
        <v>0</v>
      </c>
      <c r="I797" s="82">
        <v>0</v>
      </c>
      <c r="J797" s="82">
        <v>0</v>
      </c>
      <c r="K797" s="82">
        <v>0</v>
      </c>
      <c r="L797" s="82">
        <v>0</v>
      </c>
      <c r="M797" s="82">
        <v>0</v>
      </c>
    </row>
    <row r="798">
      <c r="A798" s="3" t="s">
        <v>506</v>
      </c>
      <c r="B798" s="3"/>
      <c r="C798" s="83">
        <v>0</v>
      </c>
      <c r="D798" s="83">
        <v>0</v>
      </c>
      <c r="E798" s="83">
        <v>0</v>
      </c>
      <c r="F798" s="83">
        <v>0</v>
      </c>
      <c r="G798" s="83">
        <v>0</v>
      </c>
      <c r="H798" s="83">
        <v>0</v>
      </c>
      <c r="I798" s="83">
        <v>0</v>
      </c>
      <c r="J798" s="83">
        <v>0</v>
      </c>
      <c r="K798" s="83">
        <v>0</v>
      </c>
      <c r="L798" s="83">
        <v>0</v>
      </c>
      <c r="M798" s="83">
        <v>0</v>
      </c>
    </row>
    <row r="799">
      <c r="A799" s="3" t="s">
        <v>507</v>
      </c>
      <c r="B799" s="3"/>
      <c r="C799" s="83">
        <v>0</v>
      </c>
      <c r="D799" s="83">
        <v>0</v>
      </c>
      <c r="E799" s="83">
        <v>0</v>
      </c>
      <c r="F799" s="83">
        <v>0</v>
      </c>
      <c r="G799" s="83">
        <v>0</v>
      </c>
      <c r="H799" s="83">
        <v>0</v>
      </c>
      <c r="I799" s="83">
        <v>0</v>
      </c>
      <c r="J799" s="83">
        <v>0</v>
      </c>
      <c r="K799" s="83">
        <v>0</v>
      </c>
      <c r="L799" s="83">
        <v>0</v>
      </c>
      <c r="M799" s="83">
        <v>0</v>
      </c>
    </row>
    <row r="800">
      <c r="A800" s="3" t="s">
        <v>508</v>
      </c>
      <c r="B800" s="3"/>
      <c r="C800" s="83">
        <v>0</v>
      </c>
      <c r="D800" s="83">
        <v>0</v>
      </c>
      <c r="E800" s="83">
        <v>0</v>
      </c>
      <c r="F800" s="83">
        <v>0</v>
      </c>
      <c r="G800" s="83">
        <v>0</v>
      </c>
      <c r="H800" s="83">
        <v>0</v>
      </c>
      <c r="I800" s="83">
        <v>0</v>
      </c>
      <c r="J800" s="83">
        <v>0</v>
      </c>
      <c r="K800" s="83">
        <v>0</v>
      </c>
      <c r="L800" s="83">
        <v>0</v>
      </c>
      <c r="M800" s="83">
        <v>0</v>
      </c>
    </row>
    <row r="801">
      <c r="A801" s="3" t="s">
        <v>509</v>
      </c>
      <c r="B801" s="3"/>
      <c r="C801" s="83">
        <v>0</v>
      </c>
      <c r="D801" s="83">
        <v>0</v>
      </c>
      <c r="E801" s="83">
        <v>0</v>
      </c>
      <c r="F801" s="83">
        <v>0</v>
      </c>
      <c r="G801" s="83">
        <v>0</v>
      </c>
      <c r="H801" s="83">
        <v>0</v>
      </c>
      <c r="I801" s="83">
        <v>0</v>
      </c>
      <c r="J801" s="83">
        <v>0</v>
      </c>
      <c r="K801" s="83">
        <v>0</v>
      </c>
      <c r="L801" s="83">
        <v>0</v>
      </c>
      <c r="M801" s="83">
        <v>0</v>
      </c>
    </row>
    <row r="802">
      <c r="A802" s="3" t="s">
        <v>510</v>
      </c>
      <c r="B802" s="3"/>
      <c r="C802" s="83">
        <v>0</v>
      </c>
      <c r="D802" s="83">
        <v>0</v>
      </c>
      <c r="E802" s="83">
        <v>0</v>
      </c>
      <c r="F802" s="83">
        <v>0</v>
      </c>
      <c r="G802" s="83">
        <v>0</v>
      </c>
      <c r="H802" s="83">
        <v>0</v>
      </c>
      <c r="I802" s="83">
        <v>0</v>
      </c>
      <c r="J802" s="83">
        <v>0</v>
      </c>
      <c r="K802" s="83">
        <v>0</v>
      </c>
      <c r="L802" s="83">
        <v>0</v>
      </c>
      <c r="M802" s="83">
        <v>0</v>
      </c>
    </row>
    <row r="806">
      <c r="A806" s="22" t="s">
        <v>529</v>
      </c>
      <c r="C806" s="22" t="s">
        <v>363</v>
      </c>
      <c r="D806" s="22"/>
      <c r="E806" s="22"/>
      <c r="F806" s="22"/>
      <c r="G806" s="22"/>
      <c r="H806" s="22"/>
      <c r="I806" s="22"/>
      <c r="J806" s="22"/>
      <c r="K806" s="22"/>
      <c r="L806" s="22"/>
      <c r="M806" s="22"/>
    </row>
    <row r="807">
      <c r="A807" s="22"/>
      <c r="B807" s="3"/>
      <c r="C807" s="22">
        <v>2026</v>
      </c>
      <c r="D807" s="22">
        <v>2027</v>
      </c>
      <c r="E807" s="22">
        <v>2028</v>
      </c>
      <c r="F807" s="22">
        <v>2029</v>
      </c>
      <c r="G807" s="22">
        <v>2030</v>
      </c>
      <c r="H807" s="22">
        <v>2031</v>
      </c>
      <c r="I807" s="22">
        <v>2032</v>
      </c>
      <c r="J807" s="22">
        <v>2033</v>
      </c>
      <c r="K807" s="22">
        <v>2034</v>
      </c>
      <c r="L807" s="22">
        <v>2035</v>
      </c>
      <c r="M807" s="22">
        <v>2036</v>
      </c>
      <c r="N807" s="22" t="s">
        <v>530</v>
      </c>
    </row>
    <row r="808">
      <c r="A808" s="3" t="s">
        <v>117</v>
      </c>
      <c r="B808" s="3"/>
      <c r="C808" s="74">
        <v>0</v>
      </c>
      <c r="D808" s="74">
        <v>0</v>
      </c>
      <c r="E808" s="74">
        <v>0</v>
      </c>
      <c r="F808" s="74">
        <v>0</v>
      </c>
      <c r="G808" s="74">
        <v>0</v>
      </c>
      <c r="H808" s="74">
        <v>0</v>
      </c>
      <c r="I808" s="74">
        <v>0</v>
      </c>
      <c r="J808" s="74">
        <v>0</v>
      </c>
      <c r="K808" s="74">
        <v>0</v>
      </c>
      <c r="L808" s="74">
        <v>0</v>
      </c>
      <c r="M808" s="74">
        <v>0</v>
      </c>
      <c r="N808" s="78">
        <f>Sum(C808:M808)</f>
        <v>0</v>
      </c>
      <c r="O808" s="76" t="e">
        <f>(N808/N815)</f>
        <v>#DIV/0!</v>
      </c>
      <c r="P808" s="0" t="s">
        <v>531</v>
      </c>
    </row>
    <row r="809">
      <c r="A809" s="3" t="s">
        <v>121</v>
      </c>
      <c r="B809" s="3"/>
      <c r="C809" s="74">
        <v>0</v>
      </c>
      <c r="D809" s="74">
        <v>0</v>
      </c>
      <c r="E809" s="74">
        <v>0</v>
      </c>
      <c r="F809" s="74">
        <v>0</v>
      </c>
      <c r="G809" s="74">
        <v>0</v>
      </c>
      <c r="H809" s="74">
        <v>0</v>
      </c>
      <c r="I809" s="74">
        <v>0</v>
      </c>
      <c r="J809" s="74">
        <v>0</v>
      </c>
      <c r="K809" s="74">
        <v>0</v>
      </c>
      <c r="L809" s="74">
        <v>0</v>
      </c>
      <c r="M809" s="74">
        <v>0</v>
      </c>
      <c r="N809" s="78">
        <f>Sum(C809:M809)</f>
        <v>0</v>
      </c>
      <c r="O809" s="76" t="e">
        <f>(N809/N815)</f>
        <v>#DIV/0!</v>
      </c>
      <c r="P809" s="0" t="s">
        <v>532</v>
      </c>
    </row>
    <row r="810">
      <c r="A810" s="3" t="s">
        <v>122</v>
      </c>
      <c r="B810" s="3"/>
      <c r="C810" s="74">
        <v>0</v>
      </c>
      <c r="D810" s="74">
        <v>0</v>
      </c>
      <c r="E810" s="74">
        <v>0</v>
      </c>
      <c r="F810" s="74">
        <v>0</v>
      </c>
      <c r="G810" s="74">
        <v>0</v>
      </c>
      <c r="H810" s="74">
        <v>0</v>
      </c>
      <c r="I810" s="74">
        <v>0</v>
      </c>
      <c r="J810" s="74">
        <v>0</v>
      </c>
      <c r="K810" s="74">
        <v>0</v>
      </c>
      <c r="L810" s="74">
        <v>0</v>
      </c>
      <c r="M810" s="74">
        <v>0</v>
      </c>
      <c r="N810" s="78">
        <f>Sum(C810:M810)</f>
        <v>0</v>
      </c>
      <c r="O810" s="76" t="e">
        <f>(N810/N815)</f>
        <v>#DIV/0!</v>
      </c>
      <c r="P810" s="0" t="s">
        <v>533</v>
      </c>
    </row>
    <row r="811">
      <c r="A811" s="3" t="s">
        <v>124</v>
      </c>
      <c r="B811" s="3"/>
      <c r="C811" s="74">
        <v>0</v>
      </c>
      <c r="D811" s="74">
        <v>0</v>
      </c>
      <c r="E811" s="74">
        <v>0</v>
      </c>
      <c r="F811" s="74">
        <v>0</v>
      </c>
      <c r="G811" s="74">
        <v>0</v>
      </c>
      <c r="H811" s="74">
        <v>0</v>
      </c>
      <c r="I811" s="74">
        <v>0</v>
      </c>
      <c r="J811" s="74">
        <v>0</v>
      </c>
      <c r="K811" s="74">
        <v>0</v>
      </c>
      <c r="L811" s="74">
        <v>0</v>
      </c>
      <c r="M811" s="74">
        <v>0</v>
      </c>
      <c r="N811" s="78">
        <f>Sum(C811:M811)</f>
        <v>0</v>
      </c>
      <c r="O811" s="76" t="e">
        <f>(N811/N815)</f>
        <v>#DIV/0!</v>
      </c>
      <c r="P811" s="0" t="s">
        <v>534</v>
      </c>
    </row>
    <row r="812">
      <c r="A812" s="3" t="s">
        <v>535</v>
      </c>
      <c r="B812" s="3"/>
      <c r="C812" s="74">
        <v>0</v>
      </c>
      <c r="D812" s="74">
        <v>0</v>
      </c>
      <c r="E812" s="74">
        <v>0</v>
      </c>
      <c r="F812" s="74">
        <v>0</v>
      </c>
      <c r="G812" s="74">
        <v>0</v>
      </c>
      <c r="H812" s="74">
        <v>0</v>
      </c>
      <c r="I812" s="74">
        <v>0</v>
      </c>
      <c r="J812" s="74">
        <v>0</v>
      </c>
      <c r="K812" s="74">
        <v>0</v>
      </c>
      <c r="L812" s="74">
        <v>0</v>
      </c>
      <c r="M812" s="74">
        <v>0</v>
      </c>
      <c r="N812" s="78">
        <f>Sum(C812:M812)</f>
        <v>0</v>
      </c>
      <c r="O812" s="76" t="e">
        <f>(N812/N815)</f>
        <v>#DIV/0!</v>
      </c>
      <c r="P812" s="0" t="s">
        <v>536</v>
      </c>
    </row>
    <row r="813">
      <c r="A813" s="3" t="s">
        <v>537</v>
      </c>
      <c r="B813" s="3"/>
      <c r="C813" s="74">
        <v>0</v>
      </c>
      <c r="D813" s="74">
        <v>0</v>
      </c>
      <c r="E813" s="74">
        <v>0</v>
      </c>
      <c r="F813" s="74">
        <v>0</v>
      </c>
      <c r="G813" s="74">
        <v>0</v>
      </c>
      <c r="H813" s="74">
        <v>0</v>
      </c>
      <c r="I813" s="74">
        <v>0</v>
      </c>
      <c r="J813" s="74">
        <v>0</v>
      </c>
      <c r="K813" s="74">
        <v>0</v>
      </c>
      <c r="L813" s="74">
        <v>0</v>
      </c>
      <c r="M813" s="74">
        <v>0</v>
      </c>
      <c r="N813" s="78">
        <f>Sum(C813:M813)</f>
        <v>0</v>
      </c>
      <c r="O813" s="76" t="e">
        <f>(N813/N815)</f>
        <v>#DIV/0!</v>
      </c>
      <c r="P813" s="0" t="s">
        <v>538</v>
      </c>
    </row>
    <row r="814">
      <c r="A814" s="3" t="s">
        <v>539</v>
      </c>
      <c r="B814" s="3"/>
      <c r="C814" s="74">
        <v>0</v>
      </c>
      <c r="D814" s="74">
        <v>0</v>
      </c>
      <c r="E814" s="74">
        <v>0</v>
      </c>
      <c r="F814" s="74">
        <v>0</v>
      </c>
      <c r="G814" s="74">
        <v>0</v>
      </c>
      <c r="H814" s="74">
        <v>0</v>
      </c>
      <c r="I814" s="74">
        <v>0</v>
      </c>
      <c r="J814" s="74">
        <v>0</v>
      </c>
      <c r="K814" s="74">
        <v>0</v>
      </c>
      <c r="L814" s="74">
        <v>0</v>
      </c>
      <c r="M814" s="74">
        <v>0</v>
      </c>
      <c r="N814" s="78">
        <f>Sum(C814:M814)</f>
        <v>0</v>
      </c>
      <c r="O814" s="76" t="e">
        <f>(N814/N815)</f>
        <v>#DIV/0!</v>
      </c>
      <c r="P814" s="0" t="s">
        <v>540</v>
      </c>
    </row>
    <row r="815">
      <c r="A815" s="3" t="s">
        <v>541</v>
      </c>
      <c r="B815" s="3"/>
      <c r="C815" s="74"/>
      <c r="D815" s="74"/>
      <c r="E815" s="74"/>
      <c r="F815" s="74"/>
      <c r="G815" s="74"/>
      <c r="H815" s="74"/>
      <c r="I815" s="74"/>
      <c r="J815" s="74"/>
      <c r="K815" s="74"/>
      <c r="L815" s="74"/>
      <c r="M815" s="74"/>
      <c r="N815" s="78">
        <f>Sum(C815:M815)</f>
        <v>0</v>
      </c>
    </row>
    <row r="816">
      <c r="A816" s="3"/>
      <c r="B816" s="3"/>
      <c r="C816" s="74"/>
      <c r="D816" s="74"/>
      <c r="E816" s="74"/>
      <c r="F816" s="74"/>
      <c r="G816" s="74"/>
      <c r="H816" s="74"/>
      <c r="I816" s="74"/>
      <c r="J816" s="74"/>
      <c r="K816" s="74"/>
      <c r="L816" s="74"/>
      <c r="M816" s="74"/>
      <c r="N816" s="78"/>
    </row>
    <row r="817">
      <c r="A817" s="3" t="s">
        <v>542</v>
      </c>
      <c r="B817" s="3"/>
      <c r="C817" s="74">
        <v>0</v>
      </c>
      <c r="D817" s="74">
        <v>0</v>
      </c>
      <c r="E817" s="74">
        <v>0</v>
      </c>
      <c r="F817" s="74">
        <v>0</v>
      </c>
      <c r="G817" s="74">
        <v>0</v>
      </c>
      <c r="H817" s="74">
        <v>0</v>
      </c>
      <c r="I817" s="74">
        <v>0</v>
      </c>
      <c r="J817" s="74">
        <v>0</v>
      </c>
      <c r="K817" s="74">
        <v>0</v>
      </c>
      <c r="L817" s="74">
        <v>0</v>
      </c>
      <c r="M817" s="74">
        <v>0</v>
      </c>
      <c r="N817" s="78">
        <f>Sum(C817:M817)</f>
        <v>0</v>
      </c>
    </row>
    <row r="819">
      <c r="A819" s="22" t="s">
        <v>543</v>
      </c>
      <c r="C819" s="22" t="s">
        <v>363</v>
      </c>
      <c r="D819" s="22"/>
      <c r="E819" s="22"/>
      <c r="F819" s="22"/>
      <c r="G819" s="22"/>
      <c r="H819" s="22"/>
      <c r="I819" s="22"/>
      <c r="J819" s="22"/>
      <c r="K819" s="22"/>
      <c r="L819" s="22"/>
      <c r="M819" s="22"/>
    </row>
    <row r="820">
      <c r="A820" s="22"/>
      <c r="C820" s="22">
        <v>2026</v>
      </c>
      <c r="D820" s="22">
        <v>2027</v>
      </c>
      <c r="E820" s="22">
        <v>2028</v>
      </c>
      <c r="F820" s="22">
        <v>2029</v>
      </c>
      <c r="G820" s="22">
        <v>2030</v>
      </c>
      <c r="H820" s="22">
        <v>2031</v>
      </c>
      <c r="I820" s="22">
        <v>2032</v>
      </c>
      <c r="J820" s="22">
        <v>2033</v>
      </c>
      <c r="K820" s="22">
        <v>2034</v>
      </c>
      <c r="L820" s="22">
        <v>2035</v>
      </c>
      <c r="M820" s="22">
        <v>2036</v>
      </c>
    </row>
    <row r="821">
      <c r="A821" s="3"/>
      <c r="B821" s="3"/>
      <c r="C821" s="74"/>
      <c r="D821" s="74"/>
      <c r="E821" s="74"/>
      <c r="F821" s="74"/>
      <c r="G821" s="74"/>
      <c r="H821" s="74"/>
      <c r="I821" s="74"/>
      <c r="J821" s="74"/>
      <c r="K821" s="74"/>
      <c r="L821" s="74"/>
      <c r="M821" s="74"/>
      <c r="N821" s="78">
        <f>Sum(C821:M821)</f>
        <v>0</v>
      </c>
    </row>
    <row r="824">
      <c r="A824" s="22" t="s">
        <v>473</v>
      </c>
      <c r="C824" s="22" t="s">
        <v>544</v>
      </c>
      <c r="D824" s="22"/>
      <c r="E824" s="22"/>
      <c r="F824" s="22"/>
      <c r="G824" s="22"/>
      <c r="H824" s="22"/>
      <c r="I824" s="22"/>
      <c r="J824" s="22"/>
      <c r="K824" s="22"/>
      <c r="L824" s="22"/>
      <c r="M824" s="22"/>
    </row>
    <row r="825">
      <c r="A825" s="22"/>
      <c r="C825" s="22">
        <v>2026</v>
      </c>
      <c r="D825" s="22">
        <v>2027</v>
      </c>
      <c r="E825" s="22">
        <v>2028</v>
      </c>
      <c r="F825" s="22">
        <v>2029</v>
      </c>
      <c r="G825" s="22">
        <v>2030</v>
      </c>
      <c r="H825" s="22">
        <v>2031</v>
      </c>
      <c r="I825" s="22">
        <v>2032</v>
      </c>
      <c r="J825" s="22">
        <v>2033</v>
      </c>
      <c r="K825" s="22">
        <v>2034</v>
      </c>
      <c r="L825" s="22">
        <v>2035</v>
      </c>
      <c r="M825" s="22">
        <v>2036</v>
      </c>
    </row>
    <row r="826">
      <c r="A826" s="3" t="s">
        <v>545</v>
      </c>
      <c r="B826" s="3"/>
      <c r="C826" s="90">
        <v>0</v>
      </c>
      <c r="D826" s="90">
        <v>0</v>
      </c>
      <c r="E826" s="90">
        <v>0</v>
      </c>
      <c r="F826" s="90">
        <v>0</v>
      </c>
      <c r="G826" s="90">
        <v>0</v>
      </c>
      <c r="H826" s="90">
        <v>0</v>
      </c>
      <c r="I826" s="90">
        <v>0</v>
      </c>
      <c r="J826" s="90">
        <v>0</v>
      </c>
      <c r="K826" s="90">
        <v>0</v>
      </c>
      <c r="L826" s="90">
        <v>0</v>
      </c>
      <c r="M826" s="90">
        <v>0</v>
      </c>
    </row>
    <row r="827">
      <c r="A827" s="3" t="s">
        <v>546</v>
      </c>
      <c r="B827" s="3"/>
      <c r="C827" s="90">
        <v>0</v>
      </c>
      <c r="D827" s="90">
        <v>0</v>
      </c>
      <c r="E827" s="90">
        <v>0</v>
      </c>
      <c r="F827" s="90">
        <v>0</v>
      </c>
      <c r="G827" s="90">
        <v>0</v>
      </c>
      <c r="H827" s="90">
        <v>0</v>
      </c>
      <c r="I827" s="90">
        <v>0</v>
      </c>
      <c r="J827" s="90">
        <v>0</v>
      </c>
      <c r="K827" s="90">
        <v>0</v>
      </c>
      <c r="L827" s="90">
        <v>0</v>
      </c>
      <c r="M827" s="90">
        <v>0</v>
      </c>
    </row>
    <row r="828">
      <c r="A828" s="3" t="s">
        <v>547</v>
      </c>
      <c r="B828" s="3"/>
      <c r="C828" s="90">
        <v>0</v>
      </c>
      <c r="D828" s="90">
        <v>0</v>
      </c>
      <c r="E828" s="90">
        <v>0</v>
      </c>
      <c r="F828" s="90">
        <v>0</v>
      </c>
      <c r="G828" s="90">
        <v>0</v>
      </c>
      <c r="H828" s="90">
        <v>0</v>
      </c>
      <c r="I828" s="90">
        <v>0</v>
      </c>
      <c r="J828" s="90">
        <v>0</v>
      </c>
      <c r="K828" s="90">
        <v>0</v>
      </c>
      <c r="L828" s="90">
        <v>0</v>
      </c>
      <c r="M828" s="90">
        <v>0</v>
      </c>
    </row>
    <row r="829">
      <c r="A829" s="3" t="s">
        <v>548</v>
      </c>
      <c r="B829" s="3"/>
      <c r="C829" s="90">
        <v>0</v>
      </c>
      <c r="D829" s="90">
        <v>0</v>
      </c>
      <c r="E829" s="90">
        <v>0</v>
      </c>
      <c r="F829" s="90">
        <v>0</v>
      </c>
      <c r="G829" s="90">
        <v>0</v>
      </c>
      <c r="H829" s="90">
        <v>0</v>
      </c>
      <c r="I829" s="90">
        <v>0</v>
      </c>
      <c r="J829" s="90">
        <v>0</v>
      </c>
      <c r="K829" s="90">
        <v>0</v>
      </c>
      <c r="L829" s="90">
        <v>0</v>
      </c>
      <c r="M829" s="90">
        <v>0</v>
      </c>
    </row>
    <row r="830">
      <c r="A830" s="3" t="s">
        <v>549</v>
      </c>
      <c r="B830" s="3"/>
      <c r="C830" s="90">
        <v>0</v>
      </c>
      <c r="D830" s="90">
        <v>0</v>
      </c>
      <c r="E830" s="90">
        <v>0</v>
      </c>
      <c r="F830" s="90">
        <v>0</v>
      </c>
      <c r="G830" s="90">
        <v>0</v>
      </c>
      <c r="H830" s="90">
        <v>0</v>
      </c>
      <c r="I830" s="90">
        <v>0</v>
      </c>
      <c r="J830" s="90">
        <v>0</v>
      </c>
      <c r="K830" s="90">
        <v>0</v>
      </c>
      <c r="L830" s="90">
        <v>0</v>
      </c>
      <c r="M830" s="90">
        <v>0</v>
      </c>
    </row>
    <row r="831">
      <c r="A831" s="3" t="s">
        <v>550</v>
      </c>
      <c r="B831" s="3"/>
      <c r="C831" s="90">
        <v>0</v>
      </c>
      <c r="D831" s="90">
        <v>0</v>
      </c>
      <c r="E831" s="90">
        <v>0</v>
      </c>
      <c r="F831" s="90">
        <v>0</v>
      </c>
      <c r="G831" s="90">
        <v>0</v>
      </c>
      <c r="H831" s="90">
        <v>0</v>
      </c>
      <c r="I831" s="90">
        <v>0</v>
      </c>
      <c r="J831" s="90">
        <v>0</v>
      </c>
      <c r="K831" s="90">
        <v>0</v>
      </c>
      <c r="L831" s="90">
        <v>0</v>
      </c>
      <c r="M831" s="90">
        <v>0</v>
      </c>
    </row>
    <row r="832">
      <c r="A832" s="3" t="s">
        <v>551</v>
      </c>
      <c r="B832" s="3"/>
      <c r="C832" s="90">
        <v>0</v>
      </c>
      <c r="D832" s="90">
        <v>0</v>
      </c>
      <c r="E832" s="90"/>
      <c r="F832" s="90">
        <v>0</v>
      </c>
      <c r="G832" s="90"/>
      <c r="H832" s="90">
        <v>0</v>
      </c>
      <c r="I832" s="90"/>
      <c r="J832" s="90"/>
      <c r="K832" s="90"/>
      <c r="L832" s="90"/>
      <c r="M832" s="90">
        <v>0</v>
      </c>
    </row>
    <row r="834">
      <c r="A834" s="25" t="s">
        <v>150</v>
      </c>
      <c r="B834" s="25"/>
      <c r="C834" s="25"/>
      <c r="D834" s="25"/>
      <c r="E834" s="25"/>
      <c r="F834" s="25"/>
      <c r="G834" s="25"/>
      <c r="H834" s="25"/>
      <c r="I834" s="25"/>
      <c r="J834" s="25"/>
      <c r="K834" s="25"/>
      <c r="L834" s="24"/>
      <c r="M834" s="24"/>
    </row>
    <row r="837">
      <c r="A837" s="22" t="s">
        <v>363</v>
      </c>
      <c r="C837" s="22" t="s">
        <v>502</v>
      </c>
      <c r="D837" s="22"/>
      <c r="E837" s="22"/>
      <c r="F837" s="22"/>
      <c r="G837" s="22"/>
      <c r="H837" s="22"/>
      <c r="I837" s="22"/>
      <c r="J837" s="22"/>
      <c r="K837" s="22"/>
      <c r="L837" s="22"/>
      <c r="M837" s="22"/>
    </row>
    <row r="838">
      <c r="A838" s="22"/>
      <c r="C838" s="22">
        <v>2026</v>
      </c>
      <c r="D838" s="22">
        <v>2027</v>
      </c>
      <c r="E838" s="22">
        <v>2028</v>
      </c>
      <c r="F838" s="22">
        <v>2029</v>
      </c>
      <c r="G838" s="22">
        <v>2030</v>
      </c>
      <c r="H838" s="22">
        <v>2031</v>
      </c>
      <c r="I838" s="22">
        <v>2032</v>
      </c>
      <c r="J838" s="22">
        <v>2033</v>
      </c>
      <c r="K838" s="22">
        <v>2034</v>
      </c>
      <c r="L838" s="22">
        <v>2035</v>
      </c>
      <c r="M838" s="22">
        <v>2036</v>
      </c>
    </row>
    <row r="839">
      <c r="A839" s="3" t="s">
        <v>504</v>
      </c>
      <c r="B839" s="3"/>
      <c r="C839" s="82">
        <v>0</v>
      </c>
      <c r="D839" s="82">
        <v>0</v>
      </c>
      <c r="E839" s="82">
        <v>0</v>
      </c>
      <c r="F839" s="82">
        <v>0</v>
      </c>
      <c r="G839" s="82">
        <v>0</v>
      </c>
      <c r="H839" s="82">
        <v>0</v>
      </c>
      <c r="I839" s="82">
        <v>0</v>
      </c>
      <c r="J839" s="82">
        <v>0</v>
      </c>
      <c r="K839" s="82">
        <v>0</v>
      </c>
      <c r="L839" s="82">
        <v>0</v>
      </c>
      <c r="M839" s="82">
        <v>0</v>
      </c>
    </row>
    <row r="840">
      <c r="A840" s="3" t="s">
        <v>506</v>
      </c>
      <c r="B840" s="3"/>
      <c r="C840" s="83">
        <v>0</v>
      </c>
      <c r="D840" s="83">
        <v>0</v>
      </c>
      <c r="E840" s="83">
        <v>0</v>
      </c>
      <c r="F840" s="83">
        <v>0</v>
      </c>
      <c r="G840" s="83">
        <v>0</v>
      </c>
      <c r="H840" s="83">
        <v>0</v>
      </c>
      <c r="I840" s="83">
        <v>0</v>
      </c>
      <c r="J840" s="83">
        <v>0</v>
      </c>
      <c r="K840" s="83">
        <v>0</v>
      </c>
      <c r="L840" s="83">
        <v>0</v>
      </c>
      <c r="M840" s="83">
        <v>0</v>
      </c>
    </row>
    <row r="841">
      <c r="A841" s="3" t="s">
        <v>507</v>
      </c>
      <c r="B841" s="3"/>
      <c r="C841" s="83">
        <v>0</v>
      </c>
      <c r="D841" s="83">
        <v>0</v>
      </c>
      <c r="E841" s="83">
        <v>0</v>
      </c>
      <c r="F841" s="83">
        <v>0</v>
      </c>
      <c r="G841" s="83">
        <v>0</v>
      </c>
      <c r="H841" s="83">
        <v>0</v>
      </c>
      <c r="I841" s="83">
        <v>0</v>
      </c>
      <c r="J841" s="83">
        <v>0</v>
      </c>
      <c r="K841" s="83">
        <v>0</v>
      </c>
      <c r="L841" s="83">
        <v>0</v>
      </c>
      <c r="M841" s="83">
        <v>0</v>
      </c>
    </row>
    <row r="842">
      <c r="A842" s="3" t="s">
        <v>508</v>
      </c>
      <c r="B842" s="3"/>
      <c r="C842" s="83">
        <v>0</v>
      </c>
      <c r="D842" s="83">
        <v>0</v>
      </c>
      <c r="E842" s="83">
        <v>0</v>
      </c>
      <c r="F842" s="83">
        <v>0</v>
      </c>
      <c r="G842" s="83">
        <v>0</v>
      </c>
      <c r="H842" s="83">
        <v>0</v>
      </c>
      <c r="I842" s="83">
        <v>0</v>
      </c>
      <c r="J842" s="83">
        <v>0</v>
      </c>
      <c r="K842" s="83">
        <v>0</v>
      </c>
      <c r="L842" s="83">
        <v>0</v>
      </c>
      <c r="M842" s="83">
        <v>0</v>
      </c>
    </row>
    <row r="843">
      <c r="A843" s="3" t="s">
        <v>509</v>
      </c>
      <c r="B843" s="3"/>
      <c r="C843" s="83">
        <v>0</v>
      </c>
      <c r="D843" s="83">
        <v>0</v>
      </c>
      <c r="E843" s="83">
        <v>0</v>
      </c>
      <c r="F843" s="83">
        <v>0</v>
      </c>
      <c r="G843" s="83">
        <v>0</v>
      </c>
      <c r="H843" s="83">
        <v>0</v>
      </c>
      <c r="I843" s="83">
        <v>0</v>
      </c>
      <c r="J843" s="83">
        <v>0</v>
      </c>
      <c r="K843" s="83">
        <v>0</v>
      </c>
      <c r="L843" s="83">
        <v>0</v>
      </c>
      <c r="M843" s="83">
        <v>0</v>
      </c>
    </row>
    <row r="844">
      <c r="A844" s="3" t="s">
        <v>510</v>
      </c>
      <c r="B844" s="3"/>
      <c r="C844" s="83">
        <v>0</v>
      </c>
      <c r="D844" s="83">
        <v>0</v>
      </c>
      <c r="E844" s="83">
        <v>0</v>
      </c>
      <c r="F844" s="83">
        <v>0</v>
      </c>
      <c r="G844" s="83">
        <v>0</v>
      </c>
      <c r="H844" s="83">
        <v>0</v>
      </c>
      <c r="I844" s="83">
        <v>0</v>
      </c>
      <c r="J844" s="83">
        <v>0</v>
      </c>
      <c r="K844" s="83">
        <v>0</v>
      </c>
      <c r="L844" s="83">
        <v>0</v>
      </c>
      <c r="M844" s="83">
        <v>0</v>
      </c>
    </row>
    <row r="848">
      <c r="A848" s="22" t="s">
        <v>529</v>
      </c>
      <c r="C848" s="22" t="s">
        <v>363</v>
      </c>
      <c r="D848" s="22"/>
      <c r="E848" s="22"/>
      <c r="F848" s="22"/>
      <c r="G848" s="22"/>
      <c r="H848" s="22"/>
      <c r="I848" s="22"/>
      <c r="J848" s="22"/>
      <c r="K848" s="22"/>
      <c r="L848" s="22"/>
      <c r="M848" s="22"/>
    </row>
    <row r="849">
      <c r="A849" s="22"/>
      <c r="B849" s="3"/>
      <c r="C849" s="22">
        <v>2026</v>
      </c>
      <c r="D849" s="22">
        <v>2027</v>
      </c>
      <c r="E849" s="22">
        <v>2028</v>
      </c>
      <c r="F849" s="22">
        <v>2029</v>
      </c>
      <c r="G849" s="22">
        <v>2030</v>
      </c>
      <c r="H849" s="22">
        <v>2031</v>
      </c>
      <c r="I849" s="22">
        <v>2032</v>
      </c>
      <c r="J849" s="22">
        <v>2033</v>
      </c>
      <c r="K849" s="22">
        <v>2034</v>
      </c>
      <c r="L849" s="22">
        <v>2035</v>
      </c>
      <c r="M849" s="22">
        <v>2036</v>
      </c>
      <c r="N849" s="22" t="s">
        <v>530</v>
      </c>
    </row>
    <row r="850">
      <c r="A850" s="3" t="s">
        <v>117</v>
      </c>
      <c r="B850" s="3"/>
      <c r="C850" s="74">
        <v>0</v>
      </c>
      <c r="D850" s="74">
        <v>0</v>
      </c>
      <c r="E850" s="74">
        <v>0</v>
      </c>
      <c r="F850" s="74">
        <v>0</v>
      </c>
      <c r="G850" s="74">
        <v>0</v>
      </c>
      <c r="H850" s="74">
        <v>0</v>
      </c>
      <c r="I850" s="74">
        <v>0</v>
      </c>
      <c r="J850" s="74">
        <v>0</v>
      </c>
      <c r="K850" s="74">
        <v>0</v>
      </c>
      <c r="L850" s="74">
        <v>0</v>
      </c>
      <c r="M850" s="74">
        <v>0</v>
      </c>
      <c r="N850" s="78">
        <f>Sum(C850:M850)</f>
        <v>0</v>
      </c>
      <c r="O850" s="76" t="e">
        <f>(N850/N857)</f>
        <v>#DIV/0!</v>
      </c>
      <c r="P850" s="0" t="s">
        <v>531</v>
      </c>
    </row>
    <row r="851">
      <c r="A851" s="3" t="s">
        <v>121</v>
      </c>
      <c r="B851" s="3"/>
      <c r="C851" s="74">
        <v>0</v>
      </c>
      <c r="D851" s="74">
        <v>0</v>
      </c>
      <c r="E851" s="74">
        <v>0</v>
      </c>
      <c r="F851" s="74">
        <v>0</v>
      </c>
      <c r="G851" s="74">
        <v>0</v>
      </c>
      <c r="H851" s="74">
        <v>0</v>
      </c>
      <c r="I851" s="74">
        <v>0</v>
      </c>
      <c r="J851" s="74">
        <v>0</v>
      </c>
      <c r="K851" s="74">
        <v>0</v>
      </c>
      <c r="L851" s="74">
        <v>0</v>
      </c>
      <c r="M851" s="74">
        <v>0</v>
      </c>
      <c r="N851" s="78">
        <f>Sum(C851:M851)</f>
        <v>0</v>
      </c>
      <c r="O851" s="76" t="e">
        <f>(N851/N857)</f>
        <v>#DIV/0!</v>
      </c>
      <c r="P851" s="0" t="s">
        <v>532</v>
      </c>
    </row>
    <row r="852">
      <c r="A852" s="3" t="s">
        <v>122</v>
      </c>
      <c r="B852" s="3"/>
      <c r="C852" s="74">
        <v>0</v>
      </c>
      <c r="D852" s="74">
        <v>0</v>
      </c>
      <c r="E852" s="74">
        <v>0</v>
      </c>
      <c r="F852" s="74">
        <v>0</v>
      </c>
      <c r="G852" s="74">
        <v>0</v>
      </c>
      <c r="H852" s="74">
        <v>0</v>
      </c>
      <c r="I852" s="74">
        <v>0</v>
      </c>
      <c r="J852" s="74">
        <v>0</v>
      </c>
      <c r="K852" s="74">
        <v>0</v>
      </c>
      <c r="L852" s="74">
        <v>0</v>
      </c>
      <c r="M852" s="74">
        <v>0</v>
      </c>
      <c r="N852" s="78">
        <f>Sum(C852:M852)</f>
        <v>0</v>
      </c>
      <c r="O852" s="76" t="e">
        <f>(N852/N857)</f>
        <v>#DIV/0!</v>
      </c>
      <c r="P852" s="0" t="s">
        <v>533</v>
      </c>
    </row>
    <row r="853">
      <c r="A853" s="3" t="s">
        <v>124</v>
      </c>
      <c r="B853" s="3"/>
      <c r="C853" s="74">
        <v>0</v>
      </c>
      <c r="D853" s="74">
        <v>0</v>
      </c>
      <c r="E853" s="74">
        <v>0</v>
      </c>
      <c r="F853" s="74">
        <v>0</v>
      </c>
      <c r="G853" s="74">
        <v>0</v>
      </c>
      <c r="H853" s="74">
        <v>0</v>
      </c>
      <c r="I853" s="74">
        <v>0</v>
      </c>
      <c r="J853" s="74">
        <v>0</v>
      </c>
      <c r="K853" s="74">
        <v>0</v>
      </c>
      <c r="L853" s="74">
        <v>0</v>
      </c>
      <c r="M853" s="74">
        <v>0</v>
      </c>
      <c r="N853" s="78">
        <f>Sum(C853:M853)</f>
        <v>0</v>
      </c>
      <c r="O853" s="76" t="e">
        <f>(N853/N857)</f>
        <v>#DIV/0!</v>
      </c>
      <c r="P853" s="0" t="s">
        <v>534</v>
      </c>
    </row>
    <row r="854">
      <c r="A854" s="3" t="s">
        <v>535</v>
      </c>
      <c r="B854" s="3"/>
      <c r="C854" s="74">
        <v>0</v>
      </c>
      <c r="D854" s="74">
        <v>0</v>
      </c>
      <c r="E854" s="74">
        <v>0</v>
      </c>
      <c r="F854" s="74">
        <v>0</v>
      </c>
      <c r="G854" s="74">
        <v>0</v>
      </c>
      <c r="H854" s="74">
        <v>0</v>
      </c>
      <c r="I854" s="74">
        <v>0</v>
      </c>
      <c r="J854" s="74">
        <v>0</v>
      </c>
      <c r="K854" s="74">
        <v>0</v>
      </c>
      <c r="L854" s="74">
        <v>0</v>
      </c>
      <c r="M854" s="74">
        <v>0</v>
      </c>
      <c r="N854" s="78">
        <f>Sum(C854:M854)</f>
        <v>0</v>
      </c>
      <c r="O854" s="76" t="e">
        <f>(N854/N857)</f>
        <v>#DIV/0!</v>
      </c>
      <c r="P854" s="0" t="s">
        <v>536</v>
      </c>
    </row>
    <row r="855">
      <c r="A855" s="3" t="s">
        <v>537</v>
      </c>
      <c r="B855" s="3"/>
      <c r="C855" s="74">
        <v>0</v>
      </c>
      <c r="D855" s="74">
        <v>0</v>
      </c>
      <c r="E855" s="74">
        <v>0</v>
      </c>
      <c r="F855" s="74">
        <v>0</v>
      </c>
      <c r="G855" s="74">
        <v>0</v>
      </c>
      <c r="H855" s="74">
        <v>0</v>
      </c>
      <c r="I855" s="74">
        <v>0</v>
      </c>
      <c r="J855" s="74">
        <v>0</v>
      </c>
      <c r="K855" s="74">
        <v>0</v>
      </c>
      <c r="L855" s="74">
        <v>0</v>
      </c>
      <c r="M855" s="74">
        <v>0</v>
      </c>
      <c r="N855" s="78">
        <f>Sum(C855:M855)</f>
        <v>0</v>
      </c>
      <c r="O855" s="76" t="e">
        <f>(N855/N857)</f>
        <v>#DIV/0!</v>
      </c>
      <c r="P855" s="0" t="s">
        <v>538</v>
      </c>
    </row>
    <row r="856">
      <c r="A856" s="3" t="s">
        <v>539</v>
      </c>
      <c r="B856" s="3"/>
      <c r="C856" s="74">
        <v>0</v>
      </c>
      <c r="D856" s="74">
        <v>0</v>
      </c>
      <c r="E856" s="74">
        <v>0</v>
      </c>
      <c r="F856" s="74">
        <v>0</v>
      </c>
      <c r="G856" s="74">
        <v>0</v>
      </c>
      <c r="H856" s="74">
        <v>0</v>
      </c>
      <c r="I856" s="74">
        <v>0</v>
      </c>
      <c r="J856" s="74">
        <v>0</v>
      </c>
      <c r="K856" s="74">
        <v>0</v>
      </c>
      <c r="L856" s="74">
        <v>0</v>
      </c>
      <c r="M856" s="74">
        <v>0</v>
      </c>
      <c r="N856" s="78">
        <f>Sum(C856:M856)</f>
        <v>0</v>
      </c>
      <c r="O856" s="76" t="e">
        <f>(N856/N857)</f>
        <v>#DIV/0!</v>
      </c>
      <c r="P856" s="0" t="s">
        <v>540</v>
      </c>
    </row>
    <row r="857">
      <c r="A857" s="3" t="s">
        <v>541</v>
      </c>
      <c r="B857" s="3"/>
      <c r="C857" s="74"/>
      <c r="D857" s="74"/>
      <c r="E857" s="74"/>
      <c r="F857" s="74"/>
      <c r="G857" s="74"/>
      <c r="H857" s="74"/>
      <c r="I857" s="74"/>
      <c r="J857" s="74"/>
      <c r="K857" s="74"/>
      <c r="L857" s="74"/>
      <c r="M857" s="74"/>
      <c r="N857" s="78">
        <f>Sum(C857:M857)</f>
        <v>0</v>
      </c>
    </row>
    <row r="858">
      <c r="A858" s="3"/>
      <c r="B858" s="3"/>
      <c r="C858" s="74"/>
      <c r="D858" s="74"/>
      <c r="E858" s="74"/>
      <c r="F858" s="74"/>
      <c r="G858" s="74"/>
      <c r="H858" s="74"/>
      <c r="I858" s="74"/>
      <c r="J858" s="74"/>
      <c r="K858" s="74"/>
      <c r="L858" s="74"/>
      <c r="M858" s="74"/>
      <c r="N858" s="78"/>
    </row>
    <row r="859">
      <c r="A859" s="3" t="s">
        <v>542</v>
      </c>
      <c r="B859" s="3"/>
      <c r="C859" s="74">
        <v>0</v>
      </c>
      <c r="D859" s="74">
        <v>0</v>
      </c>
      <c r="E859" s="74">
        <v>0</v>
      </c>
      <c r="F859" s="74">
        <v>0</v>
      </c>
      <c r="G859" s="74">
        <v>0</v>
      </c>
      <c r="H859" s="74">
        <v>0</v>
      </c>
      <c r="I859" s="74">
        <v>0</v>
      </c>
      <c r="J859" s="74">
        <v>0</v>
      </c>
      <c r="K859" s="74">
        <v>0</v>
      </c>
      <c r="L859" s="74">
        <v>0</v>
      </c>
      <c r="M859" s="74">
        <v>0</v>
      </c>
      <c r="N859" s="78">
        <f>Sum(C859:M859)</f>
        <v>0</v>
      </c>
    </row>
    <row r="861">
      <c r="A861" s="22" t="s">
        <v>543</v>
      </c>
      <c r="C861" s="22" t="s">
        <v>363</v>
      </c>
      <c r="D861" s="22"/>
      <c r="E861" s="22"/>
      <c r="F861" s="22"/>
      <c r="G861" s="22"/>
      <c r="H861" s="22"/>
      <c r="I861" s="22"/>
      <c r="J861" s="22"/>
      <c r="K861" s="22"/>
      <c r="L861" s="22"/>
      <c r="M861" s="22"/>
    </row>
    <row r="862">
      <c r="A862" s="22"/>
      <c r="C862" s="22">
        <v>2026</v>
      </c>
      <c r="D862" s="22">
        <v>2027</v>
      </c>
      <c r="E862" s="22">
        <v>2028</v>
      </c>
      <c r="F862" s="22">
        <v>2029</v>
      </c>
      <c r="G862" s="22">
        <v>2030</v>
      </c>
      <c r="H862" s="22">
        <v>2031</v>
      </c>
      <c r="I862" s="22">
        <v>2032</v>
      </c>
      <c r="J862" s="22">
        <v>2033</v>
      </c>
      <c r="K862" s="22">
        <v>2034</v>
      </c>
      <c r="L862" s="22">
        <v>2035</v>
      </c>
      <c r="M862" s="22">
        <v>2036</v>
      </c>
    </row>
    <row r="863">
      <c r="A863" s="3"/>
      <c r="B863" s="3"/>
      <c r="C863" s="74"/>
      <c r="D863" s="74"/>
      <c r="E863" s="74"/>
      <c r="F863" s="74"/>
      <c r="G863" s="74"/>
      <c r="H863" s="74"/>
      <c r="I863" s="74"/>
      <c r="J863" s="74"/>
      <c r="K863" s="74"/>
      <c r="L863" s="74"/>
      <c r="M863" s="74"/>
      <c r="N863" s="78">
        <f>Sum(C863:M863)</f>
        <v>0</v>
      </c>
    </row>
    <row r="866">
      <c r="A866" s="22" t="s">
        <v>473</v>
      </c>
      <c r="C866" s="22" t="s">
        <v>544</v>
      </c>
      <c r="D866" s="22"/>
      <c r="E866" s="22"/>
      <c r="F866" s="22"/>
      <c r="G866" s="22"/>
      <c r="H866" s="22"/>
      <c r="I866" s="22"/>
      <c r="J866" s="22"/>
      <c r="K866" s="22"/>
      <c r="L866" s="22"/>
      <c r="M866" s="22"/>
    </row>
    <row r="867">
      <c r="A867" s="22"/>
      <c r="C867" s="22">
        <v>2026</v>
      </c>
      <c r="D867" s="22">
        <v>2027</v>
      </c>
      <c r="E867" s="22">
        <v>2028</v>
      </c>
      <c r="F867" s="22">
        <v>2029</v>
      </c>
      <c r="G867" s="22">
        <v>2030</v>
      </c>
      <c r="H867" s="22">
        <v>2031</v>
      </c>
      <c r="I867" s="22">
        <v>2032</v>
      </c>
      <c r="J867" s="22">
        <v>2033</v>
      </c>
      <c r="K867" s="22">
        <v>2034</v>
      </c>
      <c r="L867" s="22">
        <v>2035</v>
      </c>
      <c r="M867" s="22">
        <v>2036</v>
      </c>
    </row>
    <row r="868">
      <c r="A868" s="3" t="s">
        <v>545</v>
      </c>
      <c r="B868" s="3"/>
      <c r="C868" s="90">
        <v>0</v>
      </c>
      <c r="D868" s="90">
        <v>0</v>
      </c>
      <c r="E868" s="90">
        <v>0</v>
      </c>
      <c r="F868" s="90">
        <v>0</v>
      </c>
      <c r="G868" s="90">
        <v>0</v>
      </c>
      <c r="H868" s="90">
        <v>0</v>
      </c>
      <c r="I868" s="90">
        <v>0</v>
      </c>
      <c r="J868" s="90">
        <v>0</v>
      </c>
      <c r="K868" s="90">
        <v>0</v>
      </c>
      <c r="L868" s="90">
        <v>0</v>
      </c>
      <c r="M868" s="90">
        <v>0</v>
      </c>
    </row>
    <row r="869">
      <c r="A869" s="3" t="s">
        <v>546</v>
      </c>
      <c r="B869" s="3"/>
      <c r="C869" s="90">
        <v>0</v>
      </c>
      <c r="D869" s="90">
        <v>0</v>
      </c>
      <c r="E869" s="90">
        <v>0</v>
      </c>
      <c r="F869" s="90">
        <v>0</v>
      </c>
      <c r="G869" s="90">
        <v>0</v>
      </c>
      <c r="H869" s="90">
        <v>0</v>
      </c>
      <c r="I869" s="90">
        <v>0</v>
      </c>
      <c r="J869" s="90">
        <v>0</v>
      </c>
      <c r="K869" s="90">
        <v>0</v>
      </c>
      <c r="L869" s="90">
        <v>0</v>
      </c>
      <c r="M869" s="90">
        <v>0</v>
      </c>
    </row>
    <row r="870">
      <c r="A870" s="3" t="s">
        <v>547</v>
      </c>
      <c r="B870" s="3"/>
      <c r="C870" s="90">
        <v>0</v>
      </c>
      <c r="D870" s="90">
        <v>0</v>
      </c>
      <c r="E870" s="90">
        <v>0</v>
      </c>
      <c r="F870" s="90">
        <v>0</v>
      </c>
      <c r="G870" s="90">
        <v>0</v>
      </c>
      <c r="H870" s="90">
        <v>0</v>
      </c>
      <c r="I870" s="90">
        <v>0</v>
      </c>
      <c r="J870" s="90">
        <v>0</v>
      </c>
      <c r="K870" s="90">
        <v>0</v>
      </c>
      <c r="L870" s="90">
        <v>0</v>
      </c>
      <c r="M870" s="90">
        <v>0</v>
      </c>
    </row>
    <row r="871">
      <c r="A871" s="3" t="s">
        <v>548</v>
      </c>
      <c r="B871" s="3"/>
      <c r="C871" s="90">
        <v>0</v>
      </c>
      <c r="D871" s="90">
        <v>0</v>
      </c>
      <c r="E871" s="90">
        <v>0</v>
      </c>
      <c r="F871" s="90">
        <v>0</v>
      </c>
      <c r="G871" s="90">
        <v>0</v>
      </c>
      <c r="H871" s="90">
        <v>0</v>
      </c>
      <c r="I871" s="90">
        <v>0</v>
      </c>
      <c r="J871" s="90">
        <v>0</v>
      </c>
      <c r="K871" s="90">
        <v>0</v>
      </c>
      <c r="L871" s="90">
        <v>0</v>
      </c>
      <c r="M871" s="90">
        <v>0</v>
      </c>
    </row>
    <row r="872">
      <c r="A872" s="3" t="s">
        <v>549</v>
      </c>
      <c r="B872" s="3"/>
      <c r="C872" s="90">
        <v>0</v>
      </c>
      <c r="D872" s="90">
        <v>0</v>
      </c>
      <c r="E872" s="90">
        <v>0</v>
      </c>
      <c r="F872" s="90">
        <v>0</v>
      </c>
      <c r="G872" s="90">
        <v>0</v>
      </c>
      <c r="H872" s="90">
        <v>0</v>
      </c>
      <c r="I872" s="90">
        <v>0</v>
      </c>
      <c r="J872" s="90">
        <v>0</v>
      </c>
      <c r="K872" s="90">
        <v>0</v>
      </c>
      <c r="L872" s="90">
        <v>0</v>
      </c>
      <c r="M872" s="90">
        <v>0</v>
      </c>
    </row>
    <row r="873">
      <c r="A873" s="3" t="s">
        <v>550</v>
      </c>
      <c r="B873" s="3"/>
      <c r="C873" s="90">
        <v>0</v>
      </c>
      <c r="D873" s="90">
        <v>0</v>
      </c>
      <c r="E873" s="90">
        <v>0</v>
      </c>
      <c r="F873" s="90">
        <v>0</v>
      </c>
      <c r="G873" s="90">
        <v>0</v>
      </c>
      <c r="H873" s="90">
        <v>0</v>
      </c>
      <c r="I873" s="90">
        <v>0</v>
      </c>
      <c r="J873" s="90">
        <v>0</v>
      </c>
      <c r="K873" s="90">
        <v>0</v>
      </c>
      <c r="L873" s="90">
        <v>0</v>
      </c>
      <c r="M873" s="90">
        <v>0</v>
      </c>
    </row>
    <row r="874">
      <c r="A874" s="3" t="s">
        <v>551</v>
      </c>
      <c r="B874" s="3"/>
      <c r="C874" s="90">
        <v>0</v>
      </c>
      <c r="D874" s="90">
        <v>0</v>
      </c>
      <c r="E874" s="90"/>
      <c r="F874" s="90">
        <v>0</v>
      </c>
      <c r="G874" s="90"/>
      <c r="H874" s="90">
        <v>0</v>
      </c>
      <c r="I874" s="90"/>
      <c r="J874" s="90"/>
      <c r="K874" s="90"/>
      <c r="L874" s="90"/>
      <c r="M874" s="90">
        <v>0</v>
      </c>
    </row>
    <row r="876">
      <c r="A876" s="25" t="s">
        <v>151</v>
      </c>
      <c r="B876" s="25"/>
      <c r="C876" s="25"/>
      <c r="D876" s="25"/>
      <c r="E876" s="25"/>
      <c r="F876" s="25"/>
      <c r="G876" s="25"/>
      <c r="H876" s="25"/>
      <c r="I876" s="25"/>
      <c r="J876" s="25"/>
      <c r="K876" s="25"/>
      <c r="L876" s="24"/>
      <c r="M876" s="24"/>
    </row>
    <row r="879">
      <c r="A879" s="22" t="s">
        <v>363</v>
      </c>
      <c r="C879" s="22" t="s">
        <v>502</v>
      </c>
      <c r="D879" s="22"/>
      <c r="E879" s="22"/>
      <c r="F879" s="22"/>
      <c r="G879" s="22"/>
      <c r="H879" s="22"/>
      <c r="I879" s="22"/>
      <c r="J879" s="22"/>
      <c r="K879" s="22"/>
      <c r="L879" s="22"/>
      <c r="M879" s="22"/>
    </row>
    <row r="880">
      <c r="A880" s="22"/>
      <c r="C880" s="22">
        <v>2026</v>
      </c>
      <c r="D880" s="22">
        <v>2027</v>
      </c>
      <c r="E880" s="22">
        <v>2028</v>
      </c>
      <c r="F880" s="22">
        <v>2029</v>
      </c>
      <c r="G880" s="22">
        <v>2030</v>
      </c>
      <c r="H880" s="22">
        <v>2031</v>
      </c>
      <c r="I880" s="22">
        <v>2032</v>
      </c>
      <c r="J880" s="22">
        <v>2033</v>
      </c>
      <c r="K880" s="22">
        <v>2034</v>
      </c>
      <c r="L880" s="22">
        <v>2035</v>
      </c>
      <c r="M880" s="22">
        <v>2036</v>
      </c>
    </row>
    <row r="881">
      <c r="A881" s="3" t="s">
        <v>504</v>
      </c>
      <c r="B881" s="3"/>
      <c r="C881" s="82">
        <v>0</v>
      </c>
      <c r="D881" s="82">
        <v>0</v>
      </c>
      <c r="E881" s="82">
        <v>0</v>
      </c>
      <c r="F881" s="82">
        <v>0</v>
      </c>
      <c r="G881" s="82">
        <v>0</v>
      </c>
      <c r="H881" s="82">
        <v>0</v>
      </c>
      <c r="I881" s="82">
        <v>0</v>
      </c>
      <c r="J881" s="82">
        <v>0</v>
      </c>
      <c r="K881" s="82">
        <v>0</v>
      </c>
      <c r="L881" s="82">
        <v>0</v>
      </c>
      <c r="M881" s="82">
        <v>0</v>
      </c>
    </row>
    <row r="882">
      <c r="A882" s="3" t="s">
        <v>506</v>
      </c>
      <c r="B882" s="3"/>
      <c r="C882" s="83">
        <v>0</v>
      </c>
      <c r="D882" s="83">
        <v>0</v>
      </c>
      <c r="E882" s="83">
        <v>0</v>
      </c>
      <c r="F882" s="83">
        <v>0</v>
      </c>
      <c r="G882" s="83">
        <v>0</v>
      </c>
      <c r="H882" s="83">
        <v>0</v>
      </c>
      <c r="I882" s="83">
        <v>0</v>
      </c>
      <c r="J882" s="83">
        <v>0</v>
      </c>
      <c r="K882" s="83">
        <v>0</v>
      </c>
      <c r="L882" s="83">
        <v>0</v>
      </c>
      <c r="M882" s="83">
        <v>0</v>
      </c>
    </row>
    <row r="883">
      <c r="A883" s="3" t="s">
        <v>507</v>
      </c>
      <c r="B883" s="3"/>
      <c r="C883" s="83">
        <v>0</v>
      </c>
      <c r="D883" s="83">
        <v>0</v>
      </c>
      <c r="E883" s="83">
        <v>0</v>
      </c>
      <c r="F883" s="83">
        <v>0</v>
      </c>
      <c r="G883" s="83">
        <v>0</v>
      </c>
      <c r="H883" s="83">
        <v>0</v>
      </c>
      <c r="I883" s="83">
        <v>0</v>
      </c>
      <c r="J883" s="83">
        <v>0</v>
      </c>
      <c r="K883" s="83">
        <v>0</v>
      </c>
      <c r="L883" s="83">
        <v>0</v>
      </c>
      <c r="M883" s="83">
        <v>0</v>
      </c>
    </row>
    <row r="884">
      <c r="A884" s="3" t="s">
        <v>508</v>
      </c>
      <c r="B884" s="3"/>
      <c r="C884" s="83">
        <v>0</v>
      </c>
      <c r="D884" s="83">
        <v>0</v>
      </c>
      <c r="E884" s="83">
        <v>0</v>
      </c>
      <c r="F884" s="83">
        <v>0</v>
      </c>
      <c r="G884" s="83">
        <v>0</v>
      </c>
      <c r="H884" s="83">
        <v>0</v>
      </c>
      <c r="I884" s="83">
        <v>0</v>
      </c>
      <c r="J884" s="83">
        <v>0</v>
      </c>
      <c r="K884" s="83">
        <v>0</v>
      </c>
      <c r="L884" s="83">
        <v>0</v>
      </c>
      <c r="M884" s="83">
        <v>0</v>
      </c>
    </row>
    <row r="885">
      <c r="A885" s="3" t="s">
        <v>509</v>
      </c>
      <c r="B885" s="3"/>
      <c r="C885" s="83">
        <v>0</v>
      </c>
      <c r="D885" s="83">
        <v>0</v>
      </c>
      <c r="E885" s="83">
        <v>0</v>
      </c>
      <c r="F885" s="83">
        <v>0</v>
      </c>
      <c r="G885" s="83">
        <v>0</v>
      </c>
      <c r="H885" s="83">
        <v>0</v>
      </c>
      <c r="I885" s="83">
        <v>0</v>
      </c>
      <c r="J885" s="83">
        <v>0</v>
      </c>
      <c r="K885" s="83">
        <v>0</v>
      </c>
      <c r="L885" s="83">
        <v>0</v>
      </c>
      <c r="M885" s="83">
        <v>0</v>
      </c>
    </row>
    <row r="886">
      <c r="A886" s="3" t="s">
        <v>510</v>
      </c>
      <c r="B886" s="3"/>
      <c r="C886" s="83">
        <v>0</v>
      </c>
      <c r="D886" s="83">
        <v>0</v>
      </c>
      <c r="E886" s="83">
        <v>0</v>
      </c>
      <c r="F886" s="83">
        <v>0</v>
      </c>
      <c r="G886" s="83">
        <v>0</v>
      </c>
      <c r="H886" s="83">
        <v>0</v>
      </c>
      <c r="I886" s="83">
        <v>0</v>
      </c>
      <c r="J886" s="83">
        <v>0</v>
      </c>
      <c r="K886" s="83">
        <v>0</v>
      </c>
      <c r="L886" s="83">
        <v>0</v>
      </c>
      <c r="M886" s="83">
        <v>0</v>
      </c>
    </row>
    <row r="890">
      <c r="A890" s="22" t="s">
        <v>529</v>
      </c>
      <c r="C890" s="22" t="s">
        <v>363</v>
      </c>
      <c r="D890" s="22"/>
      <c r="E890" s="22"/>
      <c r="F890" s="22"/>
      <c r="G890" s="22"/>
      <c r="H890" s="22"/>
      <c r="I890" s="22"/>
      <c r="J890" s="22"/>
      <c r="K890" s="22"/>
      <c r="L890" s="22"/>
      <c r="M890" s="22"/>
    </row>
    <row r="891">
      <c r="A891" s="22"/>
      <c r="B891" s="3"/>
      <c r="C891" s="22">
        <v>2026</v>
      </c>
      <c r="D891" s="22">
        <v>2027</v>
      </c>
      <c r="E891" s="22">
        <v>2028</v>
      </c>
      <c r="F891" s="22">
        <v>2029</v>
      </c>
      <c r="G891" s="22">
        <v>2030</v>
      </c>
      <c r="H891" s="22">
        <v>2031</v>
      </c>
      <c r="I891" s="22">
        <v>2032</v>
      </c>
      <c r="J891" s="22">
        <v>2033</v>
      </c>
      <c r="K891" s="22">
        <v>2034</v>
      </c>
      <c r="L891" s="22">
        <v>2035</v>
      </c>
      <c r="M891" s="22">
        <v>2036</v>
      </c>
      <c r="N891" s="22" t="s">
        <v>530</v>
      </c>
    </row>
    <row r="892">
      <c r="A892" s="3" t="s">
        <v>117</v>
      </c>
      <c r="B892" s="3"/>
      <c r="C892" s="74">
        <v>0</v>
      </c>
      <c r="D892" s="74">
        <v>0</v>
      </c>
      <c r="E892" s="74">
        <v>0</v>
      </c>
      <c r="F892" s="74">
        <v>0</v>
      </c>
      <c r="G892" s="74">
        <v>0</v>
      </c>
      <c r="H892" s="74">
        <v>0</v>
      </c>
      <c r="I892" s="74">
        <v>0</v>
      </c>
      <c r="J892" s="74">
        <v>0</v>
      </c>
      <c r="K892" s="74">
        <v>0</v>
      </c>
      <c r="L892" s="74">
        <v>0</v>
      </c>
      <c r="M892" s="74">
        <v>0</v>
      </c>
      <c r="N892" s="78">
        <f>Sum(C892:M892)</f>
        <v>0</v>
      </c>
      <c r="O892" s="76" t="e">
        <f>(N892/N899)</f>
        <v>#DIV/0!</v>
      </c>
      <c r="P892" s="0" t="s">
        <v>531</v>
      </c>
    </row>
    <row r="893">
      <c r="A893" s="3" t="s">
        <v>121</v>
      </c>
      <c r="B893" s="3"/>
      <c r="C893" s="74">
        <v>0</v>
      </c>
      <c r="D893" s="74">
        <v>0</v>
      </c>
      <c r="E893" s="74">
        <v>0</v>
      </c>
      <c r="F893" s="74">
        <v>0</v>
      </c>
      <c r="G893" s="74">
        <v>0</v>
      </c>
      <c r="H893" s="74">
        <v>0</v>
      </c>
      <c r="I893" s="74">
        <v>0</v>
      </c>
      <c r="J893" s="74">
        <v>0</v>
      </c>
      <c r="K893" s="74">
        <v>0</v>
      </c>
      <c r="L893" s="74">
        <v>0</v>
      </c>
      <c r="M893" s="74">
        <v>0</v>
      </c>
      <c r="N893" s="78">
        <f>Sum(C893:M893)</f>
        <v>0</v>
      </c>
      <c r="O893" s="76" t="e">
        <f>(N893/N899)</f>
        <v>#DIV/0!</v>
      </c>
      <c r="P893" s="0" t="s">
        <v>532</v>
      </c>
    </row>
    <row r="894">
      <c r="A894" s="3" t="s">
        <v>122</v>
      </c>
      <c r="B894" s="3"/>
      <c r="C894" s="74">
        <v>0</v>
      </c>
      <c r="D894" s="74">
        <v>0</v>
      </c>
      <c r="E894" s="74">
        <v>0</v>
      </c>
      <c r="F894" s="74">
        <v>0</v>
      </c>
      <c r="G894" s="74">
        <v>0</v>
      </c>
      <c r="H894" s="74">
        <v>0</v>
      </c>
      <c r="I894" s="74">
        <v>0</v>
      </c>
      <c r="J894" s="74">
        <v>0</v>
      </c>
      <c r="K894" s="74">
        <v>0</v>
      </c>
      <c r="L894" s="74">
        <v>0</v>
      </c>
      <c r="M894" s="74">
        <v>0</v>
      </c>
      <c r="N894" s="78">
        <f>Sum(C894:M894)</f>
        <v>0</v>
      </c>
      <c r="O894" s="76" t="e">
        <f>(N894/N899)</f>
        <v>#DIV/0!</v>
      </c>
      <c r="P894" s="0" t="s">
        <v>533</v>
      </c>
    </row>
    <row r="895">
      <c r="A895" s="3" t="s">
        <v>124</v>
      </c>
      <c r="B895" s="3"/>
      <c r="C895" s="74">
        <v>0</v>
      </c>
      <c r="D895" s="74">
        <v>0</v>
      </c>
      <c r="E895" s="74">
        <v>0</v>
      </c>
      <c r="F895" s="74">
        <v>0</v>
      </c>
      <c r="G895" s="74">
        <v>0</v>
      </c>
      <c r="H895" s="74">
        <v>0</v>
      </c>
      <c r="I895" s="74">
        <v>0</v>
      </c>
      <c r="J895" s="74">
        <v>0</v>
      </c>
      <c r="K895" s="74">
        <v>0</v>
      </c>
      <c r="L895" s="74">
        <v>0</v>
      </c>
      <c r="M895" s="74">
        <v>0</v>
      </c>
      <c r="N895" s="78">
        <f>Sum(C895:M895)</f>
        <v>0</v>
      </c>
      <c r="O895" s="76" t="e">
        <f>(N895/N899)</f>
        <v>#DIV/0!</v>
      </c>
      <c r="P895" s="0" t="s">
        <v>534</v>
      </c>
    </row>
    <row r="896">
      <c r="A896" s="3" t="s">
        <v>535</v>
      </c>
      <c r="B896" s="3"/>
      <c r="C896" s="74">
        <v>0</v>
      </c>
      <c r="D896" s="74">
        <v>0</v>
      </c>
      <c r="E896" s="74">
        <v>0</v>
      </c>
      <c r="F896" s="74">
        <v>0</v>
      </c>
      <c r="G896" s="74">
        <v>0</v>
      </c>
      <c r="H896" s="74">
        <v>0</v>
      </c>
      <c r="I896" s="74">
        <v>0</v>
      </c>
      <c r="J896" s="74">
        <v>0</v>
      </c>
      <c r="K896" s="74">
        <v>0</v>
      </c>
      <c r="L896" s="74">
        <v>0</v>
      </c>
      <c r="M896" s="74">
        <v>0</v>
      </c>
      <c r="N896" s="78">
        <f>Sum(C896:M896)</f>
        <v>0</v>
      </c>
      <c r="O896" s="76" t="e">
        <f>(N896/N899)</f>
        <v>#DIV/0!</v>
      </c>
      <c r="P896" s="0" t="s">
        <v>536</v>
      </c>
    </row>
    <row r="897">
      <c r="A897" s="3" t="s">
        <v>537</v>
      </c>
      <c r="B897" s="3"/>
      <c r="C897" s="74">
        <v>0</v>
      </c>
      <c r="D897" s="74">
        <v>0</v>
      </c>
      <c r="E897" s="74">
        <v>0</v>
      </c>
      <c r="F897" s="74">
        <v>0</v>
      </c>
      <c r="G897" s="74">
        <v>0</v>
      </c>
      <c r="H897" s="74">
        <v>0</v>
      </c>
      <c r="I897" s="74">
        <v>0</v>
      </c>
      <c r="J897" s="74">
        <v>0</v>
      </c>
      <c r="K897" s="74">
        <v>0</v>
      </c>
      <c r="L897" s="74">
        <v>0</v>
      </c>
      <c r="M897" s="74">
        <v>0</v>
      </c>
      <c r="N897" s="78">
        <f>Sum(C897:M897)</f>
        <v>0</v>
      </c>
      <c r="O897" s="76" t="e">
        <f>(N897/N899)</f>
        <v>#DIV/0!</v>
      </c>
      <c r="P897" s="0" t="s">
        <v>538</v>
      </c>
    </row>
    <row r="898">
      <c r="A898" s="3" t="s">
        <v>539</v>
      </c>
      <c r="B898" s="3"/>
      <c r="C898" s="74">
        <v>0</v>
      </c>
      <c r="D898" s="74">
        <v>0</v>
      </c>
      <c r="E898" s="74">
        <v>0</v>
      </c>
      <c r="F898" s="74">
        <v>0</v>
      </c>
      <c r="G898" s="74">
        <v>0</v>
      </c>
      <c r="H898" s="74">
        <v>0</v>
      </c>
      <c r="I898" s="74">
        <v>0</v>
      </c>
      <c r="J898" s="74">
        <v>0</v>
      </c>
      <c r="K898" s="74">
        <v>0</v>
      </c>
      <c r="L898" s="74">
        <v>0</v>
      </c>
      <c r="M898" s="74">
        <v>0</v>
      </c>
      <c r="N898" s="78">
        <f>Sum(C898:M898)</f>
        <v>0</v>
      </c>
      <c r="O898" s="76" t="e">
        <f>(N898/N899)</f>
        <v>#DIV/0!</v>
      </c>
      <c r="P898" s="0" t="s">
        <v>540</v>
      </c>
    </row>
    <row r="899">
      <c r="A899" s="3" t="s">
        <v>541</v>
      </c>
      <c r="B899" s="3"/>
      <c r="C899" s="74"/>
      <c r="D899" s="74"/>
      <c r="E899" s="74"/>
      <c r="F899" s="74"/>
      <c r="G899" s="74"/>
      <c r="H899" s="74"/>
      <c r="I899" s="74"/>
      <c r="J899" s="74"/>
      <c r="K899" s="74"/>
      <c r="L899" s="74"/>
      <c r="M899" s="74"/>
      <c r="N899" s="78">
        <f>Sum(C899:M899)</f>
        <v>0</v>
      </c>
    </row>
    <row r="900">
      <c r="A900" s="3"/>
      <c r="B900" s="3"/>
      <c r="C900" s="74"/>
      <c r="D900" s="74"/>
      <c r="E900" s="74"/>
      <c r="F900" s="74"/>
      <c r="G900" s="74"/>
      <c r="H900" s="74"/>
      <c r="I900" s="74"/>
      <c r="J900" s="74"/>
      <c r="K900" s="74"/>
      <c r="L900" s="74"/>
      <c r="M900" s="74"/>
      <c r="N900" s="78"/>
    </row>
    <row r="901">
      <c r="A901" s="3" t="s">
        <v>542</v>
      </c>
      <c r="B901" s="3"/>
      <c r="C901" s="74">
        <v>0</v>
      </c>
      <c r="D901" s="74">
        <v>0</v>
      </c>
      <c r="E901" s="74">
        <v>0</v>
      </c>
      <c r="F901" s="74">
        <v>0</v>
      </c>
      <c r="G901" s="74">
        <v>0</v>
      </c>
      <c r="H901" s="74">
        <v>0</v>
      </c>
      <c r="I901" s="74">
        <v>0</v>
      </c>
      <c r="J901" s="74">
        <v>0</v>
      </c>
      <c r="K901" s="74">
        <v>0</v>
      </c>
      <c r="L901" s="74">
        <v>0</v>
      </c>
      <c r="M901" s="74">
        <v>0</v>
      </c>
      <c r="N901" s="78">
        <f>Sum(C901:M901)</f>
        <v>0</v>
      </c>
    </row>
    <row r="903">
      <c r="A903" s="22" t="s">
        <v>543</v>
      </c>
      <c r="C903" s="22" t="s">
        <v>363</v>
      </c>
      <c r="D903" s="22"/>
      <c r="E903" s="22"/>
      <c r="F903" s="22"/>
      <c r="G903" s="22"/>
      <c r="H903" s="22"/>
      <c r="I903" s="22"/>
      <c r="J903" s="22"/>
      <c r="K903" s="22"/>
      <c r="L903" s="22"/>
      <c r="M903" s="22"/>
    </row>
    <row r="904">
      <c r="A904" s="22"/>
      <c r="C904" s="22">
        <v>2026</v>
      </c>
      <c r="D904" s="22">
        <v>2027</v>
      </c>
      <c r="E904" s="22">
        <v>2028</v>
      </c>
      <c r="F904" s="22">
        <v>2029</v>
      </c>
      <c r="G904" s="22">
        <v>2030</v>
      </c>
      <c r="H904" s="22">
        <v>2031</v>
      </c>
      <c r="I904" s="22">
        <v>2032</v>
      </c>
      <c r="J904" s="22">
        <v>2033</v>
      </c>
      <c r="K904" s="22">
        <v>2034</v>
      </c>
      <c r="L904" s="22">
        <v>2035</v>
      </c>
      <c r="M904" s="22">
        <v>2036</v>
      </c>
    </row>
    <row r="905">
      <c r="A905" s="3"/>
      <c r="B905" s="3"/>
      <c r="C905" s="74"/>
      <c r="D905" s="74"/>
      <c r="E905" s="74"/>
      <c r="F905" s="74"/>
      <c r="G905" s="74"/>
      <c r="H905" s="74"/>
      <c r="I905" s="74"/>
      <c r="J905" s="74"/>
      <c r="K905" s="74"/>
      <c r="L905" s="74"/>
      <c r="M905" s="74"/>
      <c r="N905" s="78">
        <f>Sum(C905:M905)</f>
        <v>0</v>
      </c>
    </row>
    <row r="908">
      <c r="A908" s="22" t="s">
        <v>473</v>
      </c>
      <c r="C908" s="22" t="s">
        <v>544</v>
      </c>
      <c r="D908" s="22"/>
      <c r="E908" s="22"/>
      <c r="F908" s="22"/>
      <c r="G908" s="22"/>
      <c r="H908" s="22"/>
      <c r="I908" s="22"/>
      <c r="J908" s="22"/>
      <c r="K908" s="22"/>
      <c r="L908" s="22"/>
      <c r="M908" s="22"/>
    </row>
    <row r="909">
      <c r="A909" s="22"/>
      <c r="C909" s="22">
        <v>2026</v>
      </c>
      <c r="D909" s="22">
        <v>2027</v>
      </c>
      <c r="E909" s="22">
        <v>2028</v>
      </c>
      <c r="F909" s="22">
        <v>2029</v>
      </c>
      <c r="G909" s="22">
        <v>2030</v>
      </c>
      <c r="H909" s="22">
        <v>2031</v>
      </c>
      <c r="I909" s="22">
        <v>2032</v>
      </c>
      <c r="J909" s="22">
        <v>2033</v>
      </c>
      <c r="K909" s="22">
        <v>2034</v>
      </c>
      <c r="L909" s="22">
        <v>2035</v>
      </c>
      <c r="M909" s="22">
        <v>2036</v>
      </c>
    </row>
    <row r="910">
      <c r="A910" s="3" t="s">
        <v>545</v>
      </c>
      <c r="B910" s="3"/>
      <c r="C910" s="90">
        <v>0</v>
      </c>
      <c r="D910" s="90">
        <v>0</v>
      </c>
      <c r="E910" s="90">
        <v>0</v>
      </c>
      <c r="F910" s="90">
        <v>0</v>
      </c>
      <c r="G910" s="90">
        <v>0</v>
      </c>
      <c r="H910" s="90">
        <v>0</v>
      </c>
      <c r="I910" s="90">
        <v>0</v>
      </c>
      <c r="J910" s="90">
        <v>0</v>
      </c>
      <c r="K910" s="90">
        <v>0</v>
      </c>
      <c r="L910" s="90">
        <v>0</v>
      </c>
      <c r="M910" s="90">
        <v>0</v>
      </c>
    </row>
    <row r="911">
      <c r="A911" s="3" t="s">
        <v>546</v>
      </c>
      <c r="B911" s="3"/>
      <c r="C911" s="90">
        <v>0</v>
      </c>
      <c r="D911" s="90">
        <v>0</v>
      </c>
      <c r="E911" s="90">
        <v>0</v>
      </c>
      <c r="F911" s="90">
        <v>0</v>
      </c>
      <c r="G911" s="90">
        <v>0</v>
      </c>
      <c r="H911" s="90">
        <v>0</v>
      </c>
      <c r="I911" s="90">
        <v>0</v>
      </c>
      <c r="J911" s="90">
        <v>0</v>
      </c>
      <c r="K911" s="90">
        <v>0</v>
      </c>
      <c r="L911" s="90">
        <v>0</v>
      </c>
      <c r="M911" s="90">
        <v>0</v>
      </c>
    </row>
    <row r="912">
      <c r="A912" s="3" t="s">
        <v>547</v>
      </c>
      <c r="B912" s="3"/>
      <c r="C912" s="90">
        <v>0</v>
      </c>
      <c r="D912" s="90">
        <v>0</v>
      </c>
      <c r="E912" s="90">
        <v>0</v>
      </c>
      <c r="F912" s="90">
        <v>0</v>
      </c>
      <c r="G912" s="90">
        <v>0</v>
      </c>
      <c r="H912" s="90">
        <v>0</v>
      </c>
      <c r="I912" s="90">
        <v>0</v>
      </c>
      <c r="J912" s="90">
        <v>0</v>
      </c>
      <c r="K912" s="90">
        <v>0</v>
      </c>
      <c r="L912" s="90">
        <v>0</v>
      </c>
      <c r="M912" s="90">
        <v>0</v>
      </c>
    </row>
    <row r="913">
      <c r="A913" s="3" t="s">
        <v>548</v>
      </c>
      <c r="B913" s="3"/>
      <c r="C913" s="90">
        <v>0</v>
      </c>
      <c r="D913" s="90">
        <v>0</v>
      </c>
      <c r="E913" s="90">
        <v>0</v>
      </c>
      <c r="F913" s="90">
        <v>0</v>
      </c>
      <c r="G913" s="90">
        <v>0</v>
      </c>
      <c r="H913" s="90">
        <v>0</v>
      </c>
      <c r="I913" s="90">
        <v>0</v>
      </c>
      <c r="J913" s="90">
        <v>0</v>
      </c>
      <c r="K913" s="90">
        <v>0</v>
      </c>
      <c r="L913" s="90">
        <v>0</v>
      </c>
      <c r="M913" s="90">
        <v>0</v>
      </c>
    </row>
    <row r="914">
      <c r="A914" s="3" t="s">
        <v>549</v>
      </c>
      <c r="B914" s="3"/>
      <c r="C914" s="90">
        <v>0</v>
      </c>
      <c r="D914" s="90">
        <v>0</v>
      </c>
      <c r="E914" s="90">
        <v>0</v>
      </c>
      <c r="F914" s="90">
        <v>0</v>
      </c>
      <c r="G914" s="90">
        <v>0</v>
      </c>
      <c r="H914" s="90">
        <v>0</v>
      </c>
      <c r="I914" s="90">
        <v>0</v>
      </c>
      <c r="J914" s="90">
        <v>0</v>
      </c>
      <c r="K914" s="90">
        <v>0</v>
      </c>
      <c r="L914" s="90">
        <v>0</v>
      </c>
      <c r="M914" s="90">
        <v>0</v>
      </c>
    </row>
    <row r="915">
      <c r="A915" s="3" t="s">
        <v>550</v>
      </c>
      <c r="B915" s="3"/>
      <c r="C915" s="90">
        <v>0</v>
      </c>
      <c r="D915" s="90">
        <v>0</v>
      </c>
      <c r="E915" s="90">
        <v>0</v>
      </c>
      <c r="F915" s="90">
        <v>0</v>
      </c>
      <c r="G915" s="90">
        <v>0</v>
      </c>
      <c r="H915" s="90">
        <v>0</v>
      </c>
      <c r="I915" s="90">
        <v>0</v>
      </c>
      <c r="J915" s="90">
        <v>0</v>
      </c>
      <c r="K915" s="90">
        <v>0</v>
      </c>
      <c r="L915" s="90">
        <v>0</v>
      </c>
      <c r="M915" s="90">
        <v>0</v>
      </c>
    </row>
    <row r="916">
      <c r="A916" s="3" t="s">
        <v>551</v>
      </c>
      <c r="B916" s="3"/>
      <c r="C916" s="90">
        <v>0</v>
      </c>
      <c r="D916" s="90">
        <v>0</v>
      </c>
      <c r="E916" s="90"/>
      <c r="F916" s="90">
        <v>0</v>
      </c>
      <c r="G916" s="90"/>
      <c r="H916" s="90">
        <v>0</v>
      </c>
      <c r="I916" s="90"/>
      <c r="J916" s="90"/>
      <c r="K916" s="90"/>
      <c r="L916" s="90"/>
      <c r="M916" s="90">
        <v>0</v>
      </c>
    </row>
    <row r="918">
      <c r="A918" s="25" t="s">
        <v>152</v>
      </c>
      <c r="B918" s="25"/>
      <c r="C918" s="25"/>
      <c r="D918" s="25"/>
      <c r="E918" s="25"/>
      <c r="F918" s="25"/>
      <c r="G918" s="25"/>
      <c r="H918" s="25"/>
      <c r="I918" s="25"/>
      <c r="J918" s="25"/>
      <c r="K918" s="25"/>
      <c r="L918" s="24"/>
      <c r="M918" s="24"/>
    </row>
    <row r="921">
      <c r="A921" s="22" t="s">
        <v>363</v>
      </c>
      <c r="C921" s="22" t="s">
        <v>502</v>
      </c>
      <c r="D921" s="22"/>
      <c r="E921" s="22"/>
      <c r="F921" s="22"/>
      <c r="G921" s="22"/>
      <c r="H921" s="22"/>
      <c r="I921" s="22"/>
      <c r="J921" s="22"/>
      <c r="K921" s="22"/>
      <c r="L921" s="22"/>
      <c r="M921" s="22"/>
    </row>
    <row r="922">
      <c r="A922" s="22"/>
      <c r="C922" s="22">
        <v>2026</v>
      </c>
      <c r="D922" s="22">
        <v>2027</v>
      </c>
      <c r="E922" s="22">
        <v>2028</v>
      </c>
      <c r="F922" s="22">
        <v>2029</v>
      </c>
      <c r="G922" s="22">
        <v>2030</v>
      </c>
      <c r="H922" s="22">
        <v>2031</v>
      </c>
      <c r="I922" s="22">
        <v>2032</v>
      </c>
      <c r="J922" s="22">
        <v>2033</v>
      </c>
      <c r="K922" s="22">
        <v>2034</v>
      </c>
      <c r="L922" s="22">
        <v>2035</v>
      </c>
      <c r="M922" s="22">
        <v>2036</v>
      </c>
    </row>
    <row r="923">
      <c r="A923" s="3" t="s">
        <v>504</v>
      </c>
      <c r="B923" s="3"/>
      <c r="C923" s="82">
        <v>0</v>
      </c>
      <c r="D923" s="82">
        <v>0</v>
      </c>
      <c r="E923" s="82">
        <v>0</v>
      </c>
      <c r="F923" s="82">
        <v>0</v>
      </c>
      <c r="G923" s="82">
        <v>0</v>
      </c>
      <c r="H923" s="82">
        <v>0</v>
      </c>
      <c r="I923" s="82">
        <v>0</v>
      </c>
      <c r="J923" s="82">
        <v>0</v>
      </c>
      <c r="K923" s="82">
        <v>0</v>
      </c>
      <c r="L923" s="82">
        <v>0</v>
      </c>
      <c r="M923" s="82">
        <v>0</v>
      </c>
    </row>
    <row r="924">
      <c r="A924" s="3" t="s">
        <v>506</v>
      </c>
      <c r="B924" s="3"/>
      <c r="C924" s="83">
        <v>0</v>
      </c>
      <c r="D924" s="83">
        <v>0</v>
      </c>
      <c r="E924" s="83">
        <v>0</v>
      </c>
      <c r="F924" s="83">
        <v>0</v>
      </c>
      <c r="G924" s="83">
        <v>0</v>
      </c>
      <c r="H924" s="83">
        <v>0</v>
      </c>
      <c r="I924" s="83">
        <v>0</v>
      </c>
      <c r="J924" s="83">
        <v>0</v>
      </c>
      <c r="K924" s="83">
        <v>0</v>
      </c>
      <c r="L924" s="83">
        <v>0</v>
      </c>
      <c r="M924" s="83">
        <v>0</v>
      </c>
    </row>
    <row r="925">
      <c r="A925" s="3" t="s">
        <v>507</v>
      </c>
      <c r="B925" s="3"/>
      <c r="C925" s="83">
        <v>0</v>
      </c>
      <c r="D925" s="83">
        <v>0</v>
      </c>
      <c r="E925" s="83">
        <v>0</v>
      </c>
      <c r="F925" s="83">
        <v>0</v>
      </c>
      <c r="G925" s="83">
        <v>0</v>
      </c>
      <c r="H925" s="83">
        <v>0</v>
      </c>
      <c r="I925" s="83">
        <v>0</v>
      </c>
      <c r="J925" s="83">
        <v>0</v>
      </c>
      <c r="K925" s="83">
        <v>0</v>
      </c>
      <c r="L925" s="83">
        <v>0</v>
      </c>
      <c r="M925" s="83">
        <v>0</v>
      </c>
    </row>
    <row r="926">
      <c r="A926" s="3" t="s">
        <v>508</v>
      </c>
      <c r="B926" s="3"/>
      <c r="C926" s="83">
        <v>0</v>
      </c>
      <c r="D926" s="83">
        <v>0</v>
      </c>
      <c r="E926" s="83">
        <v>0</v>
      </c>
      <c r="F926" s="83">
        <v>0</v>
      </c>
      <c r="G926" s="83">
        <v>0</v>
      </c>
      <c r="H926" s="83">
        <v>0</v>
      </c>
      <c r="I926" s="83">
        <v>0</v>
      </c>
      <c r="J926" s="83">
        <v>0</v>
      </c>
      <c r="K926" s="83">
        <v>0</v>
      </c>
      <c r="L926" s="83">
        <v>0</v>
      </c>
      <c r="M926" s="83">
        <v>0</v>
      </c>
    </row>
    <row r="927">
      <c r="A927" s="3" t="s">
        <v>509</v>
      </c>
      <c r="B927" s="3"/>
      <c r="C927" s="83">
        <v>0</v>
      </c>
      <c r="D927" s="83">
        <v>0</v>
      </c>
      <c r="E927" s="83">
        <v>0</v>
      </c>
      <c r="F927" s="83">
        <v>0</v>
      </c>
      <c r="G927" s="83">
        <v>0</v>
      </c>
      <c r="H927" s="83">
        <v>0</v>
      </c>
      <c r="I927" s="83">
        <v>0</v>
      </c>
      <c r="J927" s="83">
        <v>0</v>
      </c>
      <c r="K927" s="83">
        <v>0</v>
      </c>
      <c r="L927" s="83">
        <v>0</v>
      </c>
      <c r="M927" s="83">
        <v>0</v>
      </c>
    </row>
    <row r="928">
      <c r="A928" s="3" t="s">
        <v>510</v>
      </c>
      <c r="B928" s="3"/>
      <c r="C928" s="83">
        <v>0</v>
      </c>
      <c r="D928" s="83">
        <v>0</v>
      </c>
      <c r="E928" s="83">
        <v>0</v>
      </c>
      <c r="F928" s="83">
        <v>0</v>
      </c>
      <c r="G928" s="83">
        <v>0</v>
      </c>
      <c r="H928" s="83">
        <v>0</v>
      </c>
      <c r="I928" s="83">
        <v>0</v>
      </c>
      <c r="J928" s="83">
        <v>0</v>
      </c>
      <c r="K928" s="83">
        <v>0</v>
      </c>
      <c r="L928" s="83">
        <v>0</v>
      </c>
      <c r="M928" s="83">
        <v>0</v>
      </c>
    </row>
    <row r="932">
      <c r="A932" s="22" t="s">
        <v>529</v>
      </c>
      <c r="C932" s="22" t="s">
        <v>363</v>
      </c>
      <c r="D932" s="22"/>
      <c r="E932" s="22"/>
      <c r="F932" s="22"/>
      <c r="G932" s="22"/>
      <c r="H932" s="22"/>
      <c r="I932" s="22"/>
      <c r="J932" s="22"/>
      <c r="K932" s="22"/>
      <c r="L932" s="22"/>
      <c r="M932" s="22"/>
    </row>
    <row r="933">
      <c r="A933" s="22"/>
      <c r="B933" s="3"/>
      <c r="C933" s="22">
        <v>2026</v>
      </c>
      <c r="D933" s="22">
        <v>2027</v>
      </c>
      <c r="E933" s="22">
        <v>2028</v>
      </c>
      <c r="F933" s="22">
        <v>2029</v>
      </c>
      <c r="G933" s="22">
        <v>2030</v>
      </c>
      <c r="H933" s="22">
        <v>2031</v>
      </c>
      <c r="I933" s="22">
        <v>2032</v>
      </c>
      <c r="J933" s="22">
        <v>2033</v>
      </c>
      <c r="K933" s="22">
        <v>2034</v>
      </c>
      <c r="L933" s="22">
        <v>2035</v>
      </c>
      <c r="M933" s="22">
        <v>2036</v>
      </c>
      <c r="N933" s="22" t="s">
        <v>530</v>
      </c>
    </row>
    <row r="934">
      <c r="A934" s="3" t="s">
        <v>117</v>
      </c>
      <c r="B934" s="3"/>
      <c r="C934" s="74">
        <v>0</v>
      </c>
      <c r="D934" s="74">
        <v>0</v>
      </c>
      <c r="E934" s="74">
        <v>0</v>
      </c>
      <c r="F934" s="74">
        <v>0</v>
      </c>
      <c r="G934" s="74">
        <v>0</v>
      </c>
      <c r="H934" s="74">
        <v>0</v>
      </c>
      <c r="I934" s="74">
        <v>0</v>
      </c>
      <c r="J934" s="74">
        <v>0</v>
      </c>
      <c r="K934" s="74">
        <v>0</v>
      </c>
      <c r="L934" s="74">
        <v>0</v>
      </c>
      <c r="M934" s="74">
        <v>0</v>
      </c>
      <c r="N934" s="78">
        <f>Sum(C934:M934)</f>
        <v>0</v>
      </c>
      <c r="O934" s="76" t="e">
        <f>(N934/N941)</f>
        <v>#DIV/0!</v>
      </c>
      <c r="P934" s="0" t="s">
        <v>531</v>
      </c>
    </row>
    <row r="935">
      <c r="A935" s="3" t="s">
        <v>121</v>
      </c>
      <c r="B935" s="3"/>
      <c r="C935" s="74">
        <v>0</v>
      </c>
      <c r="D935" s="74">
        <v>0</v>
      </c>
      <c r="E935" s="74">
        <v>0</v>
      </c>
      <c r="F935" s="74">
        <v>0</v>
      </c>
      <c r="G935" s="74">
        <v>0</v>
      </c>
      <c r="H935" s="74">
        <v>0</v>
      </c>
      <c r="I935" s="74">
        <v>0</v>
      </c>
      <c r="J935" s="74">
        <v>0</v>
      </c>
      <c r="K935" s="74">
        <v>0</v>
      </c>
      <c r="L935" s="74">
        <v>0</v>
      </c>
      <c r="M935" s="74">
        <v>0</v>
      </c>
      <c r="N935" s="78">
        <f>Sum(C935:M935)</f>
        <v>0</v>
      </c>
      <c r="O935" s="76" t="e">
        <f>(N935/N941)</f>
        <v>#DIV/0!</v>
      </c>
      <c r="P935" s="0" t="s">
        <v>532</v>
      </c>
    </row>
    <row r="936">
      <c r="A936" s="3" t="s">
        <v>122</v>
      </c>
      <c r="B936" s="3"/>
      <c r="C936" s="74">
        <v>0</v>
      </c>
      <c r="D936" s="74">
        <v>0</v>
      </c>
      <c r="E936" s="74">
        <v>0</v>
      </c>
      <c r="F936" s="74">
        <v>0</v>
      </c>
      <c r="G936" s="74">
        <v>0</v>
      </c>
      <c r="H936" s="74">
        <v>0</v>
      </c>
      <c r="I936" s="74">
        <v>0</v>
      </c>
      <c r="J936" s="74">
        <v>0</v>
      </c>
      <c r="K936" s="74">
        <v>0</v>
      </c>
      <c r="L936" s="74">
        <v>0</v>
      </c>
      <c r="M936" s="74">
        <v>0</v>
      </c>
      <c r="N936" s="78">
        <f>Sum(C936:M936)</f>
        <v>0</v>
      </c>
      <c r="O936" s="76" t="e">
        <f>(N936/N941)</f>
        <v>#DIV/0!</v>
      </c>
      <c r="P936" s="0" t="s">
        <v>533</v>
      </c>
    </row>
    <row r="937">
      <c r="A937" s="3" t="s">
        <v>124</v>
      </c>
      <c r="B937" s="3"/>
      <c r="C937" s="74">
        <v>0</v>
      </c>
      <c r="D937" s="74">
        <v>0</v>
      </c>
      <c r="E937" s="74">
        <v>0</v>
      </c>
      <c r="F937" s="74">
        <v>0</v>
      </c>
      <c r="G937" s="74">
        <v>0</v>
      </c>
      <c r="H937" s="74">
        <v>0</v>
      </c>
      <c r="I937" s="74">
        <v>0</v>
      </c>
      <c r="J937" s="74">
        <v>0</v>
      </c>
      <c r="K937" s="74">
        <v>0</v>
      </c>
      <c r="L937" s="74">
        <v>0</v>
      </c>
      <c r="M937" s="74">
        <v>0</v>
      </c>
      <c r="N937" s="78">
        <f>Sum(C937:M937)</f>
        <v>0</v>
      </c>
      <c r="O937" s="76" t="e">
        <f>(N937/N941)</f>
        <v>#DIV/0!</v>
      </c>
      <c r="P937" s="0" t="s">
        <v>534</v>
      </c>
    </row>
    <row r="938">
      <c r="A938" s="3" t="s">
        <v>535</v>
      </c>
      <c r="B938" s="3"/>
      <c r="C938" s="74">
        <v>0</v>
      </c>
      <c r="D938" s="74">
        <v>0</v>
      </c>
      <c r="E938" s="74">
        <v>0</v>
      </c>
      <c r="F938" s="74">
        <v>0</v>
      </c>
      <c r="G938" s="74">
        <v>0</v>
      </c>
      <c r="H938" s="74">
        <v>0</v>
      </c>
      <c r="I938" s="74">
        <v>0</v>
      </c>
      <c r="J938" s="74">
        <v>0</v>
      </c>
      <c r="K938" s="74">
        <v>0</v>
      </c>
      <c r="L938" s="74">
        <v>0</v>
      </c>
      <c r="M938" s="74">
        <v>0</v>
      </c>
      <c r="N938" s="78">
        <f>Sum(C938:M938)</f>
        <v>0</v>
      </c>
      <c r="O938" s="76" t="e">
        <f>(N938/N941)</f>
        <v>#DIV/0!</v>
      </c>
      <c r="P938" s="0" t="s">
        <v>536</v>
      </c>
    </row>
    <row r="939">
      <c r="A939" s="3" t="s">
        <v>537</v>
      </c>
      <c r="B939" s="3"/>
      <c r="C939" s="74">
        <v>0</v>
      </c>
      <c r="D939" s="74">
        <v>0</v>
      </c>
      <c r="E939" s="74">
        <v>0</v>
      </c>
      <c r="F939" s="74">
        <v>0</v>
      </c>
      <c r="G939" s="74">
        <v>0</v>
      </c>
      <c r="H939" s="74">
        <v>0</v>
      </c>
      <c r="I939" s="74">
        <v>0</v>
      </c>
      <c r="J939" s="74">
        <v>0</v>
      </c>
      <c r="K939" s="74">
        <v>0</v>
      </c>
      <c r="L939" s="74">
        <v>0</v>
      </c>
      <c r="M939" s="74">
        <v>0</v>
      </c>
      <c r="N939" s="78">
        <f>Sum(C939:M939)</f>
        <v>0</v>
      </c>
      <c r="O939" s="76" t="e">
        <f>(N939/N941)</f>
        <v>#DIV/0!</v>
      </c>
      <c r="P939" s="0" t="s">
        <v>538</v>
      </c>
    </row>
    <row r="940">
      <c r="A940" s="3" t="s">
        <v>539</v>
      </c>
      <c r="B940" s="3"/>
      <c r="C940" s="74">
        <v>0</v>
      </c>
      <c r="D940" s="74">
        <v>0</v>
      </c>
      <c r="E940" s="74">
        <v>0</v>
      </c>
      <c r="F940" s="74">
        <v>0</v>
      </c>
      <c r="G940" s="74">
        <v>0</v>
      </c>
      <c r="H940" s="74">
        <v>0</v>
      </c>
      <c r="I940" s="74">
        <v>0</v>
      </c>
      <c r="J940" s="74">
        <v>0</v>
      </c>
      <c r="K940" s="74">
        <v>0</v>
      </c>
      <c r="L940" s="74">
        <v>0</v>
      </c>
      <c r="M940" s="74">
        <v>0</v>
      </c>
      <c r="N940" s="78">
        <f>Sum(C940:M940)</f>
        <v>0</v>
      </c>
      <c r="O940" s="76" t="e">
        <f>(N940/N941)</f>
        <v>#DIV/0!</v>
      </c>
      <c r="P940" s="0" t="s">
        <v>540</v>
      </c>
    </row>
    <row r="941">
      <c r="A941" s="3" t="s">
        <v>541</v>
      </c>
      <c r="B941" s="3"/>
      <c r="C941" s="74"/>
      <c r="D941" s="74"/>
      <c r="E941" s="74"/>
      <c r="F941" s="74"/>
      <c r="G941" s="74"/>
      <c r="H941" s="74"/>
      <c r="I941" s="74"/>
      <c r="J941" s="74"/>
      <c r="K941" s="74"/>
      <c r="L941" s="74"/>
      <c r="M941" s="74"/>
      <c r="N941" s="78">
        <f>Sum(C941:M941)</f>
        <v>0</v>
      </c>
    </row>
    <row r="942">
      <c r="A942" s="3"/>
      <c r="B942" s="3"/>
      <c r="C942" s="74"/>
      <c r="D942" s="74"/>
      <c r="E942" s="74"/>
      <c r="F942" s="74"/>
      <c r="G942" s="74"/>
      <c r="H942" s="74"/>
      <c r="I942" s="74"/>
      <c r="J942" s="74"/>
      <c r="K942" s="74"/>
      <c r="L942" s="74"/>
      <c r="M942" s="74"/>
      <c r="N942" s="78"/>
    </row>
    <row r="943">
      <c r="A943" s="3" t="s">
        <v>542</v>
      </c>
      <c r="B943" s="3"/>
      <c r="C943" s="74">
        <v>0</v>
      </c>
      <c r="D943" s="74">
        <v>0</v>
      </c>
      <c r="E943" s="74">
        <v>0</v>
      </c>
      <c r="F943" s="74">
        <v>0</v>
      </c>
      <c r="G943" s="74">
        <v>0</v>
      </c>
      <c r="H943" s="74">
        <v>0</v>
      </c>
      <c r="I943" s="74">
        <v>0</v>
      </c>
      <c r="J943" s="74">
        <v>0</v>
      </c>
      <c r="K943" s="74">
        <v>0</v>
      </c>
      <c r="L943" s="74">
        <v>0</v>
      </c>
      <c r="M943" s="74">
        <v>0</v>
      </c>
      <c r="N943" s="78">
        <f>Sum(C943:M943)</f>
        <v>0</v>
      </c>
    </row>
    <row r="945">
      <c r="A945" s="22" t="s">
        <v>543</v>
      </c>
      <c r="C945" s="22" t="s">
        <v>363</v>
      </c>
      <c r="D945" s="22"/>
      <c r="E945" s="22"/>
      <c r="F945" s="22"/>
      <c r="G945" s="22"/>
      <c r="H945" s="22"/>
      <c r="I945" s="22"/>
      <c r="J945" s="22"/>
      <c r="K945" s="22"/>
      <c r="L945" s="22"/>
      <c r="M945" s="22"/>
    </row>
    <row r="946">
      <c r="A946" s="22"/>
      <c r="C946" s="22">
        <v>2026</v>
      </c>
      <c r="D946" s="22">
        <v>2027</v>
      </c>
      <c r="E946" s="22">
        <v>2028</v>
      </c>
      <c r="F946" s="22">
        <v>2029</v>
      </c>
      <c r="G946" s="22">
        <v>2030</v>
      </c>
      <c r="H946" s="22">
        <v>2031</v>
      </c>
      <c r="I946" s="22">
        <v>2032</v>
      </c>
      <c r="J946" s="22">
        <v>2033</v>
      </c>
      <c r="K946" s="22">
        <v>2034</v>
      </c>
      <c r="L946" s="22">
        <v>2035</v>
      </c>
      <c r="M946" s="22">
        <v>2036</v>
      </c>
    </row>
    <row r="947">
      <c r="A947" s="3"/>
      <c r="B947" s="3"/>
      <c r="C947" s="74"/>
      <c r="D947" s="74"/>
      <c r="E947" s="74"/>
      <c r="F947" s="74"/>
      <c r="G947" s="74"/>
      <c r="H947" s="74"/>
      <c r="I947" s="74"/>
      <c r="J947" s="74"/>
      <c r="K947" s="74"/>
      <c r="L947" s="74"/>
      <c r="M947" s="74"/>
      <c r="N947" s="78">
        <f>Sum(C947:M947)</f>
        <v>0</v>
      </c>
    </row>
    <row r="950">
      <c r="A950" s="22" t="s">
        <v>473</v>
      </c>
      <c r="C950" s="22" t="s">
        <v>544</v>
      </c>
      <c r="D950" s="22"/>
      <c r="E950" s="22"/>
      <c r="F950" s="22"/>
      <c r="G950" s="22"/>
      <c r="H950" s="22"/>
      <c r="I950" s="22"/>
      <c r="J950" s="22"/>
      <c r="K950" s="22"/>
      <c r="L950" s="22"/>
      <c r="M950" s="22"/>
    </row>
    <row r="951">
      <c r="A951" s="22"/>
      <c r="C951" s="22">
        <v>2026</v>
      </c>
      <c r="D951" s="22">
        <v>2027</v>
      </c>
      <c r="E951" s="22">
        <v>2028</v>
      </c>
      <c r="F951" s="22">
        <v>2029</v>
      </c>
      <c r="G951" s="22">
        <v>2030</v>
      </c>
      <c r="H951" s="22">
        <v>2031</v>
      </c>
      <c r="I951" s="22">
        <v>2032</v>
      </c>
      <c r="J951" s="22">
        <v>2033</v>
      </c>
      <c r="K951" s="22">
        <v>2034</v>
      </c>
      <c r="L951" s="22">
        <v>2035</v>
      </c>
      <c r="M951" s="22">
        <v>2036</v>
      </c>
    </row>
    <row r="952">
      <c r="A952" s="3" t="s">
        <v>545</v>
      </c>
      <c r="B952" s="3"/>
      <c r="C952" s="90">
        <v>0</v>
      </c>
      <c r="D952" s="90">
        <v>0</v>
      </c>
      <c r="E952" s="90">
        <v>0</v>
      </c>
      <c r="F952" s="90">
        <v>0</v>
      </c>
      <c r="G952" s="90">
        <v>0</v>
      </c>
      <c r="H952" s="90">
        <v>0</v>
      </c>
      <c r="I952" s="90">
        <v>0</v>
      </c>
      <c r="J952" s="90">
        <v>0</v>
      </c>
      <c r="K952" s="90">
        <v>0</v>
      </c>
      <c r="L952" s="90">
        <v>0</v>
      </c>
      <c r="M952" s="90">
        <v>0</v>
      </c>
    </row>
    <row r="953">
      <c r="A953" s="3" t="s">
        <v>546</v>
      </c>
      <c r="B953" s="3"/>
      <c r="C953" s="90">
        <v>0</v>
      </c>
      <c r="D953" s="90">
        <v>0</v>
      </c>
      <c r="E953" s="90">
        <v>0</v>
      </c>
      <c r="F953" s="90">
        <v>0</v>
      </c>
      <c r="G953" s="90">
        <v>0</v>
      </c>
      <c r="H953" s="90">
        <v>0</v>
      </c>
      <c r="I953" s="90">
        <v>0</v>
      </c>
      <c r="J953" s="90">
        <v>0</v>
      </c>
      <c r="K953" s="90">
        <v>0</v>
      </c>
      <c r="L953" s="90">
        <v>0</v>
      </c>
      <c r="M953" s="90">
        <v>0</v>
      </c>
    </row>
    <row r="954">
      <c r="A954" s="3" t="s">
        <v>547</v>
      </c>
      <c r="B954" s="3"/>
      <c r="C954" s="90">
        <v>0</v>
      </c>
      <c r="D954" s="90">
        <v>0</v>
      </c>
      <c r="E954" s="90">
        <v>0</v>
      </c>
      <c r="F954" s="90">
        <v>0</v>
      </c>
      <c r="G954" s="90">
        <v>0</v>
      </c>
      <c r="H954" s="90">
        <v>0</v>
      </c>
      <c r="I954" s="90">
        <v>0</v>
      </c>
      <c r="J954" s="90">
        <v>0</v>
      </c>
      <c r="K954" s="90">
        <v>0</v>
      </c>
      <c r="L954" s="90">
        <v>0</v>
      </c>
      <c r="M954" s="90">
        <v>0</v>
      </c>
    </row>
    <row r="955">
      <c r="A955" s="3" t="s">
        <v>548</v>
      </c>
      <c r="B955" s="3"/>
      <c r="C955" s="90">
        <v>0</v>
      </c>
      <c r="D955" s="90">
        <v>0</v>
      </c>
      <c r="E955" s="90">
        <v>0</v>
      </c>
      <c r="F955" s="90">
        <v>0</v>
      </c>
      <c r="G955" s="90">
        <v>0</v>
      </c>
      <c r="H955" s="90">
        <v>0</v>
      </c>
      <c r="I955" s="90">
        <v>0</v>
      </c>
      <c r="J955" s="90">
        <v>0</v>
      </c>
      <c r="K955" s="90">
        <v>0</v>
      </c>
      <c r="L955" s="90">
        <v>0</v>
      </c>
      <c r="M955" s="90">
        <v>0</v>
      </c>
    </row>
    <row r="956">
      <c r="A956" s="3" t="s">
        <v>549</v>
      </c>
      <c r="B956" s="3"/>
      <c r="C956" s="90">
        <v>0</v>
      </c>
      <c r="D956" s="90">
        <v>0</v>
      </c>
      <c r="E956" s="90">
        <v>0</v>
      </c>
      <c r="F956" s="90">
        <v>0</v>
      </c>
      <c r="G956" s="90">
        <v>0</v>
      </c>
      <c r="H956" s="90">
        <v>0</v>
      </c>
      <c r="I956" s="90">
        <v>0</v>
      </c>
      <c r="J956" s="90">
        <v>0</v>
      </c>
      <c r="K956" s="90">
        <v>0</v>
      </c>
      <c r="L956" s="90">
        <v>0</v>
      </c>
      <c r="M956" s="90">
        <v>0</v>
      </c>
    </row>
    <row r="957">
      <c r="A957" s="3" t="s">
        <v>550</v>
      </c>
      <c r="B957" s="3"/>
      <c r="C957" s="90">
        <v>0</v>
      </c>
      <c r="D957" s="90">
        <v>0</v>
      </c>
      <c r="E957" s="90">
        <v>0</v>
      </c>
      <c r="F957" s="90">
        <v>0</v>
      </c>
      <c r="G957" s="90">
        <v>0</v>
      </c>
      <c r="H957" s="90">
        <v>0</v>
      </c>
      <c r="I957" s="90">
        <v>0</v>
      </c>
      <c r="J957" s="90">
        <v>0</v>
      </c>
      <c r="K957" s="90">
        <v>0</v>
      </c>
      <c r="L957" s="90">
        <v>0</v>
      </c>
      <c r="M957" s="90">
        <v>0</v>
      </c>
    </row>
    <row r="958">
      <c r="A958" s="3" t="s">
        <v>551</v>
      </c>
      <c r="B958" s="3"/>
      <c r="C958" s="90">
        <v>0</v>
      </c>
      <c r="D958" s="90">
        <v>0</v>
      </c>
      <c r="E958" s="90"/>
      <c r="F958" s="90">
        <v>0</v>
      </c>
      <c r="G958" s="90"/>
      <c r="H958" s="90">
        <v>0</v>
      </c>
      <c r="I958" s="90"/>
      <c r="J958" s="90"/>
      <c r="K958" s="90"/>
      <c r="L958" s="90"/>
      <c r="M958" s="90">
        <v>0</v>
      </c>
    </row>
    <row r="960">
      <c r="A960" s="25" t="s">
        <v>153</v>
      </c>
      <c r="B960" s="25"/>
      <c r="C960" s="25"/>
      <c r="D960" s="25"/>
      <c r="E960" s="25"/>
      <c r="F960" s="25"/>
      <c r="G960" s="25"/>
      <c r="H960" s="25"/>
      <c r="I960" s="25"/>
      <c r="J960" s="25"/>
      <c r="K960" s="25"/>
      <c r="L960" s="24"/>
      <c r="M960" s="24"/>
    </row>
    <row r="963">
      <c r="A963" s="22" t="s">
        <v>363</v>
      </c>
      <c r="C963" s="22" t="s">
        <v>502</v>
      </c>
      <c r="D963" s="22"/>
      <c r="E963" s="22"/>
      <c r="F963" s="22"/>
      <c r="G963" s="22"/>
      <c r="H963" s="22"/>
      <c r="I963" s="22"/>
      <c r="J963" s="22"/>
      <c r="K963" s="22"/>
      <c r="L963" s="22"/>
      <c r="M963" s="22"/>
    </row>
    <row r="964">
      <c r="A964" s="22"/>
      <c r="C964" s="22">
        <v>2026</v>
      </c>
      <c r="D964" s="22">
        <v>2027</v>
      </c>
      <c r="E964" s="22">
        <v>2028</v>
      </c>
      <c r="F964" s="22">
        <v>2029</v>
      </c>
      <c r="G964" s="22">
        <v>2030</v>
      </c>
      <c r="H964" s="22">
        <v>2031</v>
      </c>
      <c r="I964" s="22">
        <v>2032</v>
      </c>
      <c r="J964" s="22">
        <v>2033</v>
      </c>
      <c r="K964" s="22">
        <v>2034</v>
      </c>
      <c r="L964" s="22">
        <v>2035</v>
      </c>
      <c r="M964" s="22">
        <v>2036</v>
      </c>
    </row>
    <row r="965">
      <c r="A965" s="3" t="s">
        <v>504</v>
      </c>
      <c r="B965" s="3"/>
      <c r="C965" s="82">
        <v>0</v>
      </c>
      <c r="D965" s="82">
        <v>0</v>
      </c>
      <c r="E965" s="82">
        <v>0</v>
      </c>
      <c r="F965" s="82">
        <v>0</v>
      </c>
      <c r="G965" s="82">
        <v>0</v>
      </c>
      <c r="H965" s="82">
        <v>0</v>
      </c>
      <c r="I965" s="82">
        <v>0</v>
      </c>
      <c r="J965" s="82">
        <v>0</v>
      </c>
      <c r="K965" s="82">
        <v>0</v>
      </c>
      <c r="L965" s="82">
        <v>0</v>
      </c>
      <c r="M965" s="82">
        <v>0</v>
      </c>
    </row>
    <row r="966">
      <c r="A966" s="3" t="s">
        <v>506</v>
      </c>
      <c r="B966" s="3"/>
      <c r="C966" s="83">
        <v>0</v>
      </c>
      <c r="D966" s="83">
        <v>0</v>
      </c>
      <c r="E966" s="83">
        <v>0</v>
      </c>
      <c r="F966" s="83">
        <v>0</v>
      </c>
      <c r="G966" s="83">
        <v>0</v>
      </c>
      <c r="H966" s="83">
        <v>0</v>
      </c>
      <c r="I966" s="83">
        <v>0</v>
      </c>
      <c r="J966" s="83">
        <v>0</v>
      </c>
      <c r="K966" s="83">
        <v>0</v>
      </c>
      <c r="L966" s="83">
        <v>0</v>
      </c>
      <c r="M966" s="83">
        <v>0</v>
      </c>
    </row>
    <row r="967">
      <c r="A967" s="3" t="s">
        <v>507</v>
      </c>
      <c r="B967" s="3"/>
      <c r="C967" s="83">
        <v>0</v>
      </c>
      <c r="D967" s="83">
        <v>0</v>
      </c>
      <c r="E967" s="83">
        <v>0</v>
      </c>
      <c r="F967" s="83">
        <v>0</v>
      </c>
      <c r="G967" s="83">
        <v>0</v>
      </c>
      <c r="H967" s="83">
        <v>0</v>
      </c>
      <c r="I967" s="83">
        <v>0</v>
      </c>
      <c r="J967" s="83">
        <v>0</v>
      </c>
      <c r="K967" s="83">
        <v>0</v>
      </c>
      <c r="L967" s="83">
        <v>0</v>
      </c>
      <c r="M967" s="83">
        <v>0</v>
      </c>
    </row>
    <row r="968">
      <c r="A968" s="3" t="s">
        <v>508</v>
      </c>
      <c r="B968" s="3"/>
      <c r="C968" s="83">
        <v>0</v>
      </c>
      <c r="D968" s="83">
        <v>0</v>
      </c>
      <c r="E968" s="83">
        <v>0</v>
      </c>
      <c r="F968" s="83">
        <v>0</v>
      </c>
      <c r="G968" s="83">
        <v>0</v>
      </c>
      <c r="H968" s="83">
        <v>0</v>
      </c>
      <c r="I968" s="83">
        <v>0</v>
      </c>
      <c r="J968" s="83">
        <v>0</v>
      </c>
      <c r="K968" s="83">
        <v>0</v>
      </c>
      <c r="L968" s="83">
        <v>0</v>
      </c>
      <c r="M968" s="83">
        <v>0</v>
      </c>
    </row>
    <row r="969">
      <c r="A969" s="3" t="s">
        <v>509</v>
      </c>
      <c r="B969" s="3"/>
      <c r="C969" s="83">
        <v>0</v>
      </c>
      <c r="D969" s="83">
        <v>0</v>
      </c>
      <c r="E969" s="83">
        <v>0</v>
      </c>
      <c r="F969" s="83">
        <v>0</v>
      </c>
      <c r="G969" s="83">
        <v>0</v>
      </c>
      <c r="H969" s="83">
        <v>0</v>
      </c>
      <c r="I969" s="83">
        <v>0</v>
      </c>
      <c r="J969" s="83">
        <v>0</v>
      </c>
      <c r="K969" s="83">
        <v>0</v>
      </c>
      <c r="L969" s="83">
        <v>0</v>
      </c>
      <c r="M969" s="83">
        <v>0</v>
      </c>
    </row>
    <row r="970">
      <c r="A970" s="3" t="s">
        <v>510</v>
      </c>
      <c r="B970" s="3"/>
      <c r="C970" s="83">
        <v>0</v>
      </c>
      <c r="D970" s="83">
        <v>0</v>
      </c>
      <c r="E970" s="83">
        <v>0</v>
      </c>
      <c r="F970" s="83">
        <v>0</v>
      </c>
      <c r="G970" s="83">
        <v>0</v>
      </c>
      <c r="H970" s="83">
        <v>0</v>
      </c>
      <c r="I970" s="83">
        <v>0</v>
      </c>
      <c r="J970" s="83">
        <v>0</v>
      </c>
      <c r="K970" s="83">
        <v>0</v>
      </c>
      <c r="L970" s="83">
        <v>0</v>
      </c>
      <c r="M970" s="83">
        <v>0</v>
      </c>
    </row>
    <row r="974">
      <c r="A974" s="22" t="s">
        <v>529</v>
      </c>
      <c r="C974" s="22" t="s">
        <v>363</v>
      </c>
      <c r="D974" s="22"/>
      <c r="E974" s="22"/>
      <c r="F974" s="22"/>
      <c r="G974" s="22"/>
      <c r="H974" s="22"/>
      <c r="I974" s="22"/>
      <c r="J974" s="22"/>
      <c r="K974" s="22"/>
      <c r="L974" s="22"/>
      <c r="M974" s="22"/>
    </row>
    <row r="975">
      <c r="A975" s="22"/>
      <c r="B975" s="3"/>
      <c r="C975" s="22">
        <v>2026</v>
      </c>
      <c r="D975" s="22">
        <v>2027</v>
      </c>
      <c r="E975" s="22">
        <v>2028</v>
      </c>
      <c r="F975" s="22">
        <v>2029</v>
      </c>
      <c r="G975" s="22">
        <v>2030</v>
      </c>
      <c r="H975" s="22">
        <v>2031</v>
      </c>
      <c r="I975" s="22">
        <v>2032</v>
      </c>
      <c r="J975" s="22">
        <v>2033</v>
      </c>
      <c r="K975" s="22">
        <v>2034</v>
      </c>
      <c r="L975" s="22">
        <v>2035</v>
      </c>
      <c r="M975" s="22">
        <v>2036</v>
      </c>
      <c r="N975" s="22" t="s">
        <v>530</v>
      </c>
    </row>
    <row r="976">
      <c r="A976" s="3" t="s">
        <v>117</v>
      </c>
      <c r="B976" s="3"/>
      <c r="C976" s="74">
        <v>0</v>
      </c>
      <c r="D976" s="74">
        <v>0</v>
      </c>
      <c r="E976" s="74">
        <v>0</v>
      </c>
      <c r="F976" s="74">
        <v>0</v>
      </c>
      <c r="G976" s="74">
        <v>0</v>
      </c>
      <c r="H976" s="74">
        <v>0</v>
      </c>
      <c r="I976" s="74">
        <v>0</v>
      </c>
      <c r="J976" s="74">
        <v>0</v>
      </c>
      <c r="K976" s="74">
        <v>0</v>
      </c>
      <c r="L976" s="74">
        <v>0</v>
      </c>
      <c r="M976" s="74">
        <v>0</v>
      </c>
      <c r="N976" s="78">
        <f>Sum(C976:M976)</f>
        <v>0</v>
      </c>
      <c r="O976" s="76" t="e">
        <f>(N976/N983)</f>
        <v>#DIV/0!</v>
      </c>
      <c r="P976" s="0" t="s">
        <v>531</v>
      </c>
    </row>
    <row r="977">
      <c r="A977" s="3" t="s">
        <v>121</v>
      </c>
      <c r="B977" s="3"/>
      <c r="C977" s="74">
        <v>0</v>
      </c>
      <c r="D977" s="74">
        <v>0</v>
      </c>
      <c r="E977" s="74">
        <v>0</v>
      </c>
      <c r="F977" s="74">
        <v>0</v>
      </c>
      <c r="G977" s="74">
        <v>0</v>
      </c>
      <c r="H977" s="74">
        <v>0</v>
      </c>
      <c r="I977" s="74">
        <v>0</v>
      </c>
      <c r="J977" s="74">
        <v>0</v>
      </c>
      <c r="K977" s="74">
        <v>0</v>
      </c>
      <c r="L977" s="74">
        <v>0</v>
      </c>
      <c r="M977" s="74">
        <v>0</v>
      </c>
      <c r="N977" s="78">
        <f>Sum(C977:M977)</f>
        <v>0</v>
      </c>
      <c r="O977" s="76" t="e">
        <f>(N977/N983)</f>
        <v>#DIV/0!</v>
      </c>
      <c r="P977" s="0" t="s">
        <v>532</v>
      </c>
    </row>
    <row r="978">
      <c r="A978" s="3" t="s">
        <v>122</v>
      </c>
      <c r="B978" s="3"/>
      <c r="C978" s="74">
        <v>0</v>
      </c>
      <c r="D978" s="74">
        <v>0</v>
      </c>
      <c r="E978" s="74">
        <v>0</v>
      </c>
      <c r="F978" s="74">
        <v>0</v>
      </c>
      <c r="G978" s="74">
        <v>0</v>
      </c>
      <c r="H978" s="74">
        <v>0</v>
      </c>
      <c r="I978" s="74">
        <v>0</v>
      </c>
      <c r="J978" s="74">
        <v>0</v>
      </c>
      <c r="K978" s="74">
        <v>0</v>
      </c>
      <c r="L978" s="74">
        <v>0</v>
      </c>
      <c r="M978" s="74">
        <v>0</v>
      </c>
      <c r="N978" s="78">
        <f>Sum(C978:M978)</f>
        <v>0</v>
      </c>
      <c r="O978" s="76" t="e">
        <f>(N978/N983)</f>
        <v>#DIV/0!</v>
      </c>
      <c r="P978" s="0" t="s">
        <v>533</v>
      </c>
    </row>
    <row r="979">
      <c r="A979" s="3" t="s">
        <v>124</v>
      </c>
      <c r="B979" s="3"/>
      <c r="C979" s="74">
        <v>0</v>
      </c>
      <c r="D979" s="74">
        <v>0</v>
      </c>
      <c r="E979" s="74">
        <v>0</v>
      </c>
      <c r="F979" s="74">
        <v>0</v>
      </c>
      <c r="G979" s="74">
        <v>0</v>
      </c>
      <c r="H979" s="74">
        <v>0</v>
      </c>
      <c r="I979" s="74">
        <v>0</v>
      </c>
      <c r="J979" s="74">
        <v>0</v>
      </c>
      <c r="K979" s="74">
        <v>0</v>
      </c>
      <c r="L979" s="74">
        <v>0</v>
      </c>
      <c r="M979" s="74">
        <v>0</v>
      </c>
      <c r="N979" s="78">
        <f>Sum(C979:M979)</f>
        <v>0</v>
      </c>
      <c r="O979" s="76" t="e">
        <f>(N979/N983)</f>
        <v>#DIV/0!</v>
      </c>
      <c r="P979" s="0" t="s">
        <v>534</v>
      </c>
    </row>
    <row r="980">
      <c r="A980" s="3" t="s">
        <v>535</v>
      </c>
      <c r="B980" s="3"/>
      <c r="C980" s="74">
        <v>0</v>
      </c>
      <c r="D980" s="74">
        <v>0</v>
      </c>
      <c r="E980" s="74">
        <v>0</v>
      </c>
      <c r="F980" s="74">
        <v>0</v>
      </c>
      <c r="G980" s="74">
        <v>0</v>
      </c>
      <c r="H980" s="74">
        <v>0</v>
      </c>
      <c r="I980" s="74">
        <v>0</v>
      </c>
      <c r="J980" s="74">
        <v>0</v>
      </c>
      <c r="K980" s="74">
        <v>0</v>
      </c>
      <c r="L980" s="74">
        <v>0</v>
      </c>
      <c r="M980" s="74">
        <v>0</v>
      </c>
      <c r="N980" s="78">
        <f>Sum(C980:M980)</f>
        <v>0</v>
      </c>
      <c r="O980" s="76" t="e">
        <f>(N980/N983)</f>
        <v>#DIV/0!</v>
      </c>
      <c r="P980" s="0" t="s">
        <v>536</v>
      </c>
    </row>
    <row r="981">
      <c r="A981" s="3" t="s">
        <v>537</v>
      </c>
      <c r="B981" s="3"/>
      <c r="C981" s="74">
        <v>0</v>
      </c>
      <c r="D981" s="74">
        <v>0</v>
      </c>
      <c r="E981" s="74">
        <v>0</v>
      </c>
      <c r="F981" s="74">
        <v>0</v>
      </c>
      <c r="G981" s="74">
        <v>0</v>
      </c>
      <c r="H981" s="74">
        <v>0</v>
      </c>
      <c r="I981" s="74">
        <v>0</v>
      </c>
      <c r="J981" s="74">
        <v>0</v>
      </c>
      <c r="K981" s="74">
        <v>0</v>
      </c>
      <c r="L981" s="74">
        <v>0</v>
      </c>
      <c r="M981" s="74">
        <v>0</v>
      </c>
      <c r="N981" s="78">
        <f>Sum(C981:M981)</f>
        <v>0</v>
      </c>
      <c r="O981" s="76" t="e">
        <f>(N981/N983)</f>
        <v>#DIV/0!</v>
      </c>
      <c r="P981" s="0" t="s">
        <v>538</v>
      </c>
    </row>
    <row r="982">
      <c r="A982" s="3" t="s">
        <v>539</v>
      </c>
      <c r="B982" s="3"/>
      <c r="C982" s="74">
        <v>0</v>
      </c>
      <c r="D982" s="74">
        <v>0</v>
      </c>
      <c r="E982" s="74">
        <v>0</v>
      </c>
      <c r="F982" s="74">
        <v>0</v>
      </c>
      <c r="G982" s="74">
        <v>0</v>
      </c>
      <c r="H982" s="74">
        <v>0</v>
      </c>
      <c r="I982" s="74">
        <v>0</v>
      </c>
      <c r="J982" s="74">
        <v>0</v>
      </c>
      <c r="K982" s="74">
        <v>0</v>
      </c>
      <c r="L982" s="74">
        <v>0</v>
      </c>
      <c r="M982" s="74">
        <v>0</v>
      </c>
      <c r="N982" s="78">
        <f>Sum(C982:M982)</f>
        <v>0</v>
      </c>
      <c r="O982" s="76" t="e">
        <f>(N982/N983)</f>
        <v>#DIV/0!</v>
      </c>
      <c r="P982" s="0" t="s">
        <v>540</v>
      </c>
    </row>
    <row r="983">
      <c r="A983" s="3" t="s">
        <v>541</v>
      </c>
      <c r="B983" s="3"/>
      <c r="C983" s="74"/>
      <c r="D983" s="74"/>
      <c r="E983" s="74"/>
      <c r="F983" s="74"/>
      <c r="G983" s="74"/>
      <c r="H983" s="74"/>
      <c r="I983" s="74"/>
      <c r="J983" s="74"/>
      <c r="K983" s="74"/>
      <c r="L983" s="74"/>
      <c r="M983" s="74"/>
      <c r="N983" s="78">
        <f>Sum(C983:M983)</f>
        <v>0</v>
      </c>
    </row>
    <row r="984">
      <c r="A984" s="3"/>
      <c r="B984" s="3"/>
      <c r="C984" s="74"/>
      <c r="D984" s="74"/>
      <c r="E984" s="74"/>
      <c r="F984" s="74"/>
      <c r="G984" s="74"/>
      <c r="H984" s="74"/>
      <c r="I984" s="74"/>
      <c r="J984" s="74"/>
      <c r="K984" s="74"/>
      <c r="L984" s="74"/>
      <c r="M984" s="74"/>
      <c r="N984" s="78"/>
    </row>
    <row r="985">
      <c r="A985" s="3" t="s">
        <v>542</v>
      </c>
      <c r="B985" s="3"/>
      <c r="C985" s="74">
        <v>0</v>
      </c>
      <c r="D985" s="74">
        <v>0</v>
      </c>
      <c r="E985" s="74">
        <v>0</v>
      </c>
      <c r="F985" s="74">
        <v>0</v>
      </c>
      <c r="G985" s="74">
        <v>0</v>
      </c>
      <c r="H985" s="74">
        <v>0</v>
      </c>
      <c r="I985" s="74">
        <v>0</v>
      </c>
      <c r="J985" s="74">
        <v>0</v>
      </c>
      <c r="K985" s="74">
        <v>0</v>
      </c>
      <c r="L985" s="74">
        <v>0</v>
      </c>
      <c r="M985" s="74">
        <v>0</v>
      </c>
      <c r="N985" s="78">
        <f>Sum(C985:M985)</f>
        <v>0</v>
      </c>
    </row>
    <row r="987">
      <c r="A987" s="22" t="s">
        <v>543</v>
      </c>
      <c r="C987" s="22" t="s">
        <v>363</v>
      </c>
      <c r="D987" s="22"/>
      <c r="E987" s="22"/>
      <c r="F987" s="22"/>
      <c r="G987" s="22"/>
      <c r="H987" s="22"/>
      <c r="I987" s="22"/>
      <c r="J987" s="22"/>
      <c r="K987" s="22"/>
      <c r="L987" s="22"/>
      <c r="M987" s="22"/>
    </row>
    <row r="988">
      <c r="A988" s="22"/>
      <c r="C988" s="22">
        <v>2026</v>
      </c>
      <c r="D988" s="22">
        <v>2027</v>
      </c>
      <c r="E988" s="22">
        <v>2028</v>
      </c>
      <c r="F988" s="22">
        <v>2029</v>
      </c>
      <c r="G988" s="22">
        <v>2030</v>
      </c>
      <c r="H988" s="22">
        <v>2031</v>
      </c>
      <c r="I988" s="22">
        <v>2032</v>
      </c>
      <c r="J988" s="22">
        <v>2033</v>
      </c>
      <c r="K988" s="22">
        <v>2034</v>
      </c>
      <c r="L988" s="22">
        <v>2035</v>
      </c>
      <c r="M988" s="22">
        <v>2036</v>
      </c>
    </row>
    <row r="989">
      <c r="A989" s="3"/>
      <c r="B989" s="3"/>
      <c r="C989" s="74"/>
      <c r="D989" s="74"/>
      <c r="E989" s="74"/>
      <c r="F989" s="74"/>
      <c r="G989" s="74"/>
      <c r="H989" s="74"/>
      <c r="I989" s="74"/>
      <c r="J989" s="74"/>
      <c r="K989" s="74"/>
      <c r="L989" s="74"/>
      <c r="M989" s="74"/>
      <c r="N989" s="78">
        <f>Sum(C989:M989)</f>
        <v>0</v>
      </c>
    </row>
    <row r="992">
      <c r="A992" s="22" t="s">
        <v>473</v>
      </c>
      <c r="C992" s="22" t="s">
        <v>544</v>
      </c>
      <c r="D992" s="22"/>
      <c r="E992" s="22"/>
      <c r="F992" s="22"/>
      <c r="G992" s="22"/>
      <c r="H992" s="22"/>
      <c r="I992" s="22"/>
      <c r="J992" s="22"/>
      <c r="K992" s="22"/>
      <c r="L992" s="22"/>
      <c r="M992" s="22"/>
    </row>
    <row r="993">
      <c r="A993" s="22"/>
      <c r="C993" s="22">
        <v>2026</v>
      </c>
      <c r="D993" s="22">
        <v>2027</v>
      </c>
      <c r="E993" s="22">
        <v>2028</v>
      </c>
      <c r="F993" s="22">
        <v>2029</v>
      </c>
      <c r="G993" s="22">
        <v>2030</v>
      </c>
      <c r="H993" s="22">
        <v>2031</v>
      </c>
      <c r="I993" s="22">
        <v>2032</v>
      </c>
      <c r="J993" s="22">
        <v>2033</v>
      </c>
      <c r="K993" s="22">
        <v>2034</v>
      </c>
      <c r="L993" s="22">
        <v>2035</v>
      </c>
      <c r="M993" s="22">
        <v>2036</v>
      </c>
    </row>
    <row r="994">
      <c r="A994" s="3" t="s">
        <v>545</v>
      </c>
      <c r="B994" s="3"/>
      <c r="C994" s="90">
        <v>0</v>
      </c>
      <c r="D994" s="90">
        <v>0</v>
      </c>
      <c r="E994" s="90">
        <v>0</v>
      </c>
      <c r="F994" s="90">
        <v>0</v>
      </c>
      <c r="G994" s="90">
        <v>0</v>
      </c>
      <c r="H994" s="90">
        <v>0</v>
      </c>
      <c r="I994" s="90">
        <v>0</v>
      </c>
      <c r="J994" s="90">
        <v>0</v>
      </c>
      <c r="K994" s="90">
        <v>0</v>
      </c>
      <c r="L994" s="90">
        <v>0</v>
      </c>
      <c r="M994" s="90">
        <v>0</v>
      </c>
    </row>
    <row r="995">
      <c r="A995" s="3" t="s">
        <v>546</v>
      </c>
      <c r="B995" s="3"/>
      <c r="C995" s="90">
        <v>0</v>
      </c>
      <c r="D995" s="90">
        <v>0</v>
      </c>
      <c r="E995" s="90">
        <v>0</v>
      </c>
      <c r="F995" s="90">
        <v>0</v>
      </c>
      <c r="G995" s="90">
        <v>0</v>
      </c>
      <c r="H995" s="90">
        <v>0</v>
      </c>
      <c r="I995" s="90">
        <v>0</v>
      </c>
      <c r="J995" s="90">
        <v>0</v>
      </c>
      <c r="K995" s="90">
        <v>0</v>
      </c>
      <c r="L995" s="90">
        <v>0</v>
      </c>
      <c r="M995" s="90">
        <v>0</v>
      </c>
    </row>
    <row r="996">
      <c r="A996" s="3" t="s">
        <v>547</v>
      </c>
      <c r="B996" s="3"/>
      <c r="C996" s="90">
        <v>0</v>
      </c>
      <c r="D996" s="90">
        <v>0</v>
      </c>
      <c r="E996" s="90">
        <v>0</v>
      </c>
      <c r="F996" s="90">
        <v>0</v>
      </c>
      <c r="G996" s="90">
        <v>0</v>
      </c>
      <c r="H996" s="90">
        <v>0</v>
      </c>
      <c r="I996" s="90">
        <v>0</v>
      </c>
      <c r="J996" s="90">
        <v>0</v>
      </c>
      <c r="K996" s="90">
        <v>0</v>
      </c>
      <c r="L996" s="90">
        <v>0</v>
      </c>
      <c r="M996" s="90">
        <v>0</v>
      </c>
    </row>
    <row r="997">
      <c r="A997" s="3" t="s">
        <v>548</v>
      </c>
      <c r="B997" s="3"/>
      <c r="C997" s="90">
        <v>0</v>
      </c>
      <c r="D997" s="90">
        <v>0</v>
      </c>
      <c r="E997" s="90">
        <v>0</v>
      </c>
      <c r="F997" s="90">
        <v>0</v>
      </c>
      <c r="G997" s="90">
        <v>0</v>
      </c>
      <c r="H997" s="90">
        <v>0</v>
      </c>
      <c r="I997" s="90">
        <v>0</v>
      </c>
      <c r="J997" s="90">
        <v>0</v>
      </c>
      <c r="K997" s="90">
        <v>0</v>
      </c>
      <c r="L997" s="90">
        <v>0</v>
      </c>
      <c r="M997" s="90">
        <v>0</v>
      </c>
    </row>
    <row r="998">
      <c r="A998" s="3" t="s">
        <v>549</v>
      </c>
      <c r="B998" s="3"/>
      <c r="C998" s="90">
        <v>0</v>
      </c>
      <c r="D998" s="90">
        <v>0</v>
      </c>
      <c r="E998" s="90">
        <v>0</v>
      </c>
      <c r="F998" s="90">
        <v>0</v>
      </c>
      <c r="G998" s="90">
        <v>0</v>
      </c>
      <c r="H998" s="90">
        <v>0</v>
      </c>
      <c r="I998" s="90">
        <v>0</v>
      </c>
      <c r="J998" s="90">
        <v>0</v>
      </c>
      <c r="K998" s="90">
        <v>0</v>
      </c>
      <c r="L998" s="90">
        <v>0</v>
      </c>
      <c r="M998" s="90">
        <v>0</v>
      </c>
    </row>
    <row r="999">
      <c r="A999" s="3" t="s">
        <v>550</v>
      </c>
      <c r="B999" s="3"/>
      <c r="C999" s="90">
        <v>0</v>
      </c>
      <c r="D999" s="90">
        <v>0</v>
      </c>
      <c r="E999" s="90">
        <v>0</v>
      </c>
      <c r="F999" s="90">
        <v>0</v>
      </c>
      <c r="G999" s="90">
        <v>0</v>
      </c>
      <c r="H999" s="90">
        <v>0</v>
      </c>
      <c r="I999" s="90">
        <v>0</v>
      </c>
      <c r="J999" s="90">
        <v>0</v>
      </c>
      <c r="K999" s="90">
        <v>0</v>
      </c>
      <c r="L999" s="90">
        <v>0</v>
      </c>
      <c r="M999" s="90">
        <v>0</v>
      </c>
    </row>
    <row r="1000">
      <c r="A1000" s="3" t="s">
        <v>551</v>
      </c>
      <c r="B1000" s="3"/>
      <c r="C1000" s="90">
        <v>0</v>
      </c>
      <c r="D1000" s="90">
        <v>0</v>
      </c>
      <c r="E1000" s="90"/>
      <c r="F1000" s="90">
        <v>0</v>
      </c>
      <c r="G1000" s="90"/>
      <c r="H1000" s="90">
        <v>0</v>
      </c>
      <c r="I1000" s="90"/>
      <c r="J1000" s="90"/>
      <c r="K1000" s="90"/>
      <c r="L1000" s="90"/>
      <c r="M1000" s="90">
        <v>0</v>
      </c>
    </row>
    <row r="1002">
      <c r="A1002" s="25" t="s">
        <v>154</v>
      </c>
      <c r="B1002" s="25"/>
      <c r="C1002" s="25"/>
      <c r="D1002" s="25"/>
      <c r="E1002" s="25"/>
      <c r="F1002" s="25"/>
      <c r="G1002" s="25"/>
      <c r="H1002" s="25"/>
      <c r="I1002" s="25"/>
      <c r="J1002" s="25"/>
      <c r="K1002" s="25"/>
      <c r="L1002" s="24"/>
      <c r="M1002" s="24"/>
    </row>
    <row r="1005">
      <c r="A1005" s="22" t="s">
        <v>363</v>
      </c>
      <c r="C1005" s="22" t="s">
        <v>502</v>
      </c>
      <c r="D1005" s="22"/>
      <c r="E1005" s="22"/>
      <c r="F1005" s="22"/>
      <c r="G1005" s="22"/>
      <c r="H1005" s="22"/>
      <c r="I1005" s="22"/>
      <c r="J1005" s="22"/>
      <c r="K1005" s="22"/>
      <c r="L1005" s="22"/>
      <c r="M1005" s="22"/>
    </row>
    <row r="1006">
      <c r="A1006" s="22"/>
      <c r="C1006" s="22">
        <v>2026</v>
      </c>
      <c r="D1006" s="22">
        <v>2027</v>
      </c>
      <c r="E1006" s="22">
        <v>2028</v>
      </c>
      <c r="F1006" s="22">
        <v>2029</v>
      </c>
      <c r="G1006" s="22">
        <v>2030</v>
      </c>
      <c r="H1006" s="22">
        <v>2031</v>
      </c>
      <c r="I1006" s="22">
        <v>2032</v>
      </c>
      <c r="J1006" s="22">
        <v>2033</v>
      </c>
      <c r="K1006" s="22">
        <v>2034</v>
      </c>
      <c r="L1006" s="22">
        <v>2035</v>
      </c>
      <c r="M1006" s="22">
        <v>2036</v>
      </c>
    </row>
    <row r="1007">
      <c r="A1007" s="3" t="s">
        <v>504</v>
      </c>
      <c r="B1007" s="3"/>
      <c r="C1007" s="82">
        <v>0</v>
      </c>
      <c r="D1007" s="82">
        <v>0</v>
      </c>
      <c r="E1007" s="82">
        <v>0</v>
      </c>
      <c r="F1007" s="82">
        <v>0</v>
      </c>
      <c r="G1007" s="82">
        <v>0</v>
      </c>
      <c r="H1007" s="82">
        <v>0</v>
      </c>
      <c r="I1007" s="82">
        <v>0</v>
      </c>
      <c r="J1007" s="82">
        <v>0</v>
      </c>
      <c r="K1007" s="82">
        <v>0</v>
      </c>
      <c r="L1007" s="82">
        <v>0</v>
      </c>
      <c r="M1007" s="82">
        <v>0</v>
      </c>
    </row>
    <row r="1008">
      <c r="A1008" s="3" t="s">
        <v>506</v>
      </c>
      <c r="B1008" s="3"/>
      <c r="C1008" s="83">
        <v>0</v>
      </c>
      <c r="D1008" s="83">
        <v>0</v>
      </c>
      <c r="E1008" s="83">
        <v>0</v>
      </c>
      <c r="F1008" s="83">
        <v>0</v>
      </c>
      <c r="G1008" s="83">
        <v>0</v>
      </c>
      <c r="H1008" s="83">
        <v>0</v>
      </c>
      <c r="I1008" s="83">
        <v>0</v>
      </c>
      <c r="J1008" s="83">
        <v>0</v>
      </c>
      <c r="K1008" s="83">
        <v>0</v>
      </c>
      <c r="L1008" s="83">
        <v>0</v>
      </c>
      <c r="M1008" s="83">
        <v>0</v>
      </c>
    </row>
    <row r="1009">
      <c r="A1009" s="3" t="s">
        <v>507</v>
      </c>
      <c r="B1009" s="3"/>
      <c r="C1009" s="83">
        <v>0</v>
      </c>
      <c r="D1009" s="83">
        <v>0</v>
      </c>
      <c r="E1009" s="83">
        <v>0</v>
      </c>
      <c r="F1009" s="83">
        <v>0</v>
      </c>
      <c r="G1009" s="83">
        <v>0</v>
      </c>
      <c r="H1009" s="83">
        <v>0</v>
      </c>
      <c r="I1009" s="83">
        <v>0</v>
      </c>
      <c r="J1009" s="83">
        <v>0</v>
      </c>
      <c r="K1009" s="83">
        <v>0</v>
      </c>
      <c r="L1009" s="83">
        <v>0</v>
      </c>
      <c r="M1009" s="83">
        <v>0</v>
      </c>
    </row>
    <row r="1010">
      <c r="A1010" s="3" t="s">
        <v>508</v>
      </c>
      <c r="B1010" s="3"/>
      <c r="C1010" s="83">
        <v>0</v>
      </c>
      <c r="D1010" s="83">
        <v>0</v>
      </c>
      <c r="E1010" s="83">
        <v>0</v>
      </c>
      <c r="F1010" s="83">
        <v>0</v>
      </c>
      <c r="G1010" s="83">
        <v>0</v>
      </c>
      <c r="H1010" s="83">
        <v>0</v>
      </c>
      <c r="I1010" s="83">
        <v>0</v>
      </c>
      <c r="J1010" s="83">
        <v>0</v>
      </c>
      <c r="K1010" s="83">
        <v>0</v>
      </c>
      <c r="L1010" s="83">
        <v>0</v>
      </c>
      <c r="M1010" s="83">
        <v>0</v>
      </c>
    </row>
    <row r="1011">
      <c r="A1011" s="3" t="s">
        <v>509</v>
      </c>
      <c r="B1011" s="3"/>
      <c r="C1011" s="83">
        <v>0</v>
      </c>
      <c r="D1011" s="83">
        <v>0</v>
      </c>
      <c r="E1011" s="83">
        <v>0</v>
      </c>
      <c r="F1011" s="83">
        <v>0</v>
      </c>
      <c r="G1011" s="83">
        <v>0</v>
      </c>
      <c r="H1011" s="83">
        <v>0</v>
      </c>
      <c r="I1011" s="83">
        <v>0</v>
      </c>
      <c r="J1011" s="83">
        <v>0</v>
      </c>
      <c r="K1011" s="83">
        <v>0</v>
      </c>
      <c r="L1011" s="83">
        <v>0</v>
      </c>
      <c r="M1011" s="83">
        <v>0</v>
      </c>
    </row>
    <row r="1012">
      <c r="A1012" s="3" t="s">
        <v>510</v>
      </c>
      <c r="B1012" s="3"/>
      <c r="C1012" s="83">
        <v>0</v>
      </c>
      <c r="D1012" s="83">
        <v>0</v>
      </c>
      <c r="E1012" s="83">
        <v>0</v>
      </c>
      <c r="F1012" s="83">
        <v>0</v>
      </c>
      <c r="G1012" s="83">
        <v>0</v>
      </c>
      <c r="H1012" s="83">
        <v>0</v>
      </c>
      <c r="I1012" s="83">
        <v>0</v>
      </c>
      <c r="J1012" s="83">
        <v>0</v>
      </c>
      <c r="K1012" s="83">
        <v>0</v>
      </c>
      <c r="L1012" s="83">
        <v>0</v>
      </c>
      <c r="M1012" s="83">
        <v>0</v>
      </c>
    </row>
    <row r="1016">
      <c r="A1016" s="22" t="s">
        <v>529</v>
      </c>
      <c r="C1016" s="22" t="s">
        <v>363</v>
      </c>
      <c r="D1016" s="22"/>
      <c r="E1016" s="22"/>
      <c r="F1016" s="22"/>
      <c r="G1016" s="22"/>
      <c r="H1016" s="22"/>
      <c r="I1016" s="22"/>
      <c r="J1016" s="22"/>
      <c r="K1016" s="22"/>
      <c r="L1016" s="22"/>
      <c r="M1016" s="22"/>
    </row>
    <row r="1017">
      <c r="A1017" s="22"/>
      <c r="B1017" s="3"/>
      <c r="C1017" s="22">
        <v>2026</v>
      </c>
      <c r="D1017" s="22">
        <v>2027</v>
      </c>
      <c r="E1017" s="22">
        <v>2028</v>
      </c>
      <c r="F1017" s="22">
        <v>2029</v>
      </c>
      <c r="G1017" s="22">
        <v>2030</v>
      </c>
      <c r="H1017" s="22">
        <v>2031</v>
      </c>
      <c r="I1017" s="22">
        <v>2032</v>
      </c>
      <c r="J1017" s="22">
        <v>2033</v>
      </c>
      <c r="K1017" s="22">
        <v>2034</v>
      </c>
      <c r="L1017" s="22">
        <v>2035</v>
      </c>
      <c r="M1017" s="22">
        <v>2036</v>
      </c>
      <c r="N1017" s="22" t="s">
        <v>530</v>
      </c>
    </row>
    <row r="1018">
      <c r="A1018" s="3" t="s">
        <v>117</v>
      </c>
      <c r="B1018" s="3"/>
      <c r="C1018" s="74">
        <v>0</v>
      </c>
      <c r="D1018" s="74">
        <v>0</v>
      </c>
      <c r="E1018" s="74">
        <v>0</v>
      </c>
      <c r="F1018" s="74">
        <v>0</v>
      </c>
      <c r="G1018" s="74">
        <v>0</v>
      </c>
      <c r="H1018" s="74">
        <v>0</v>
      </c>
      <c r="I1018" s="74">
        <v>0</v>
      </c>
      <c r="J1018" s="74">
        <v>0</v>
      </c>
      <c r="K1018" s="74">
        <v>0</v>
      </c>
      <c r="L1018" s="74">
        <v>0</v>
      </c>
      <c r="M1018" s="74">
        <v>0</v>
      </c>
      <c r="N1018" s="78">
        <f>Sum(C1018:M1018)</f>
        <v>0</v>
      </c>
      <c r="O1018" s="76" t="e">
        <f>(N1018/N1025)</f>
        <v>#DIV/0!</v>
      </c>
      <c r="P1018" s="0" t="s">
        <v>531</v>
      </c>
    </row>
    <row r="1019">
      <c r="A1019" s="3" t="s">
        <v>121</v>
      </c>
      <c r="B1019" s="3"/>
      <c r="C1019" s="74">
        <v>0</v>
      </c>
      <c r="D1019" s="74">
        <v>0</v>
      </c>
      <c r="E1019" s="74">
        <v>0</v>
      </c>
      <c r="F1019" s="74">
        <v>0</v>
      </c>
      <c r="G1019" s="74">
        <v>0</v>
      </c>
      <c r="H1019" s="74">
        <v>0</v>
      </c>
      <c r="I1019" s="74">
        <v>0</v>
      </c>
      <c r="J1019" s="74">
        <v>0</v>
      </c>
      <c r="K1019" s="74">
        <v>0</v>
      </c>
      <c r="L1019" s="74">
        <v>0</v>
      </c>
      <c r="M1019" s="74">
        <v>0</v>
      </c>
      <c r="N1019" s="78">
        <f>Sum(C1019:M1019)</f>
        <v>0</v>
      </c>
      <c r="O1019" s="76" t="e">
        <f>(N1019/N1025)</f>
        <v>#DIV/0!</v>
      </c>
      <c r="P1019" s="0" t="s">
        <v>532</v>
      </c>
    </row>
    <row r="1020">
      <c r="A1020" s="3" t="s">
        <v>122</v>
      </c>
      <c r="B1020" s="3"/>
      <c r="C1020" s="74">
        <v>0</v>
      </c>
      <c r="D1020" s="74">
        <v>0</v>
      </c>
      <c r="E1020" s="74">
        <v>0</v>
      </c>
      <c r="F1020" s="74">
        <v>0</v>
      </c>
      <c r="G1020" s="74">
        <v>0</v>
      </c>
      <c r="H1020" s="74">
        <v>0</v>
      </c>
      <c r="I1020" s="74">
        <v>0</v>
      </c>
      <c r="J1020" s="74">
        <v>0</v>
      </c>
      <c r="K1020" s="74">
        <v>0</v>
      </c>
      <c r="L1020" s="74">
        <v>0</v>
      </c>
      <c r="M1020" s="74">
        <v>0</v>
      </c>
      <c r="N1020" s="78">
        <f>Sum(C1020:M1020)</f>
        <v>0</v>
      </c>
      <c r="O1020" s="76" t="e">
        <f>(N1020/N1025)</f>
        <v>#DIV/0!</v>
      </c>
      <c r="P1020" s="0" t="s">
        <v>533</v>
      </c>
    </row>
    <row r="1021">
      <c r="A1021" s="3" t="s">
        <v>124</v>
      </c>
      <c r="B1021" s="3"/>
      <c r="C1021" s="74">
        <v>0</v>
      </c>
      <c r="D1021" s="74">
        <v>0</v>
      </c>
      <c r="E1021" s="74">
        <v>0</v>
      </c>
      <c r="F1021" s="74">
        <v>0</v>
      </c>
      <c r="G1021" s="74">
        <v>0</v>
      </c>
      <c r="H1021" s="74">
        <v>0</v>
      </c>
      <c r="I1021" s="74">
        <v>0</v>
      </c>
      <c r="J1021" s="74">
        <v>0</v>
      </c>
      <c r="K1021" s="74">
        <v>0</v>
      </c>
      <c r="L1021" s="74">
        <v>0</v>
      </c>
      <c r="M1021" s="74">
        <v>0</v>
      </c>
      <c r="N1021" s="78">
        <f>Sum(C1021:M1021)</f>
        <v>0</v>
      </c>
      <c r="O1021" s="76" t="e">
        <f>(N1021/N1025)</f>
        <v>#DIV/0!</v>
      </c>
      <c r="P1021" s="0" t="s">
        <v>534</v>
      </c>
    </row>
    <row r="1022">
      <c r="A1022" s="3" t="s">
        <v>535</v>
      </c>
      <c r="B1022" s="3"/>
      <c r="C1022" s="74">
        <v>0</v>
      </c>
      <c r="D1022" s="74">
        <v>0</v>
      </c>
      <c r="E1022" s="74">
        <v>0</v>
      </c>
      <c r="F1022" s="74">
        <v>0</v>
      </c>
      <c r="G1022" s="74">
        <v>0</v>
      </c>
      <c r="H1022" s="74">
        <v>0</v>
      </c>
      <c r="I1022" s="74">
        <v>0</v>
      </c>
      <c r="J1022" s="74">
        <v>0</v>
      </c>
      <c r="K1022" s="74">
        <v>0</v>
      </c>
      <c r="L1022" s="74">
        <v>0</v>
      </c>
      <c r="M1022" s="74">
        <v>0</v>
      </c>
      <c r="N1022" s="78">
        <f>Sum(C1022:M1022)</f>
        <v>0</v>
      </c>
      <c r="O1022" s="76" t="e">
        <f>(N1022/N1025)</f>
        <v>#DIV/0!</v>
      </c>
      <c r="P1022" s="0" t="s">
        <v>536</v>
      </c>
    </row>
    <row r="1023">
      <c r="A1023" s="3" t="s">
        <v>537</v>
      </c>
      <c r="B1023" s="3"/>
      <c r="C1023" s="74">
        <v>0</v>
      </c>
      <c r="D1023" s="74">
        <v>0</v>
      </c>
      <c r="E1023" s="74">
        <v>0</v>
      </c>
      <c r="F1023" s="74">
        <v>0</v>
      </c>
      <c r="G1023" s="74">
        <v>0</v>
      </c>
      <c r="H1023" s="74">
        <v>0</v>
      </c>
      <c r="I1023" s="74">
        <v>0</v>
      </c>
      <c r="J1023" s="74">
        <v>0</v>
      </c>
      <c r="K1023" s="74">
        <v>0</v>
      </c>
      <c r="L1023" s="74">
        <v>0</v>
      </c>
      <c r="M1023" s="74">
        <v>0</v>
      </c>
      <c r="N1023" s="78">
        <f>Sum(C1023:M1023)</f>
        <v>0</v>
      </c>
      <c r="O1023" s="76" t="e">
        <f>(N1023/N1025)</f>
        <v>#DIV/0!</v>
      </c>
      <c r="P1023" s="0" t="s">
        <v>538</v>
      </c>
    </row>
    <row r="1024">
      <c r="A1024" s="3" t="s">
        <v>539</v>
      </c>
      <c r="B1024" s="3"/>
      <c r="C1024" s="74">
        <v>0</v>
      </c>
      <c r="D1024" s="74">
        <v>0</v>
      </c>
      <c r="E1024" s="74">
        <v>0</v>
      </c>
      <c r="F1024" s="74">
        <v>0</v>
      </c>
      <c r="G1024" s="74">
        <v>0</v>
      </c>
      <c r="H1024" s="74">
        <v>0</v>
      </c>
      <c r="I1024" s="74">
        <v>0</v>
      </c>
      <c r="J1024" s="74">
        <v>0</v>
      </c>
      <c r="K1024" s="74">
        <v>0</v>
      </c>
      <c r="L1024" s="74">
        <v>0</v>
      </c>
      <c r="M1024" s="74">
        <v>0</v>
      </c>
      <c r="N1024" s="78">
        <f>Sum(C1024:M1024)</f>
        <v>0</v>
      </c>
      <c r="O1024" s="76" t="e">
        <f>(N1024/N1025)</f>
        <v>#DIV/0!</v>
      </c>
      <c r="P1024" s="0" t="s">
        <v>540</v>
      </c>
    </row>
    <row r="1025">
      <c r="A1025" s="3" t="s">
        <v>541</v>
      </c>
      <c r="B1025" s="3"/>
      <c r="C1025" s="74"/>
      <c r="D1025" s="74"/>
      <c r="E1025" s="74"/>
      <c r="F1025" s="74"/>
      <c r="G1025" s="74"/>
      <c r="H1025" s="74"/>
      <c r="I1025" s="74"/>
      <c r="J1025" s="74"/>
      <c r="K1025" s="74"/>
      <c r="L1025" s="74"/>
      <c r="M1025" s="74"/>
      <c r="N1025" s="78">
        <f>Sum(C1025:M1025)</f>
        <v>0</v>
      </c>
    </row>
    <row r="1026">
      <c r="A1026" s="3"/>
      <c r="B1026" s="3"/>
      <c r="C1026" s="74"/>
      <c r="D1026" s="74"/>
      <c r="E1026" s="74"/>
      <c r="F1026" s="74"/>
      <c r="G1026" s="74"/>
      <c r="H1026" s="74"/>
      <c r="I1026" s="74"/>
      <c r="J1026" s="74"/>
      <c r="K1026" s="74"/>
      <c r="L1026" s="74"/>
      <c r="M1026" s="74"/>
      <c r="N1026" s="78"/>
    </row>
    <row r="1027">
      <c r="A1027" s="3" t="s">
        <v>542</v>
      </c>
      <c r="B1027" s="3"/>
      <c r="C1027" s="74">
        <v>0</v>
      </c>
      <c r="D1027" s="74">
        <v>0</v>
      </c>
      <c r="E1027" s="74">
        <v>0</v>
      </c>
      <c r="F1027" s="74">
        <v>0</v>
      </c>
      <c r="G1027" s="74">
        <v>0</v>
      </c>
      <c r="H1027" s="74">
        <v>0</v>
      </c>
      <c r="I1027" s="74">
        <v>0</v>
      </c>
      <c r="J1027" s="74">
        <v>0</v>
      </c>
      <c r="K1027" s="74">
        <v>0</v>
      </c>
      <c r="L1027" s="74">
        <v>0</v>
      </c>
      <c r="M1027" s="74">
        <v>0</v>
      </c>
      <c r="N1027" s="78">
        <f>Sum(C1027:M1027)</f>
        <v>0</v>
      </c>
    </row>
    <row r="1029">
      <c r="A1029" s="22" t="s">
        <v>543</v>
      </c>
      <c r="C1029" s="22" t="s">
        <v>363</v>
      </c>
      <c r="D1029" s="22"/>
      <c r="E1029" s="22"/>
      <c r="F1029" s="22"/>
      <c r="G1029" s="22"/>
      <c r="H1029" s="22"/>
      <c r="I1029" s="22"/>
      <c r="J1029" s="22"/>
      <c r="K1029" s="22"/>
      <c r="L1029" s="22"/>
      <c r="M1029" s="22"/>
    </row>
    <row r="1030">
      <c r="A1030" s="22"/>
      <c r="C1030" s="22">
        <v>2026</v>
      </c>
      <c r="D1030" s="22">
        <v>2027</v>
      </c>
      <c r="E1030" s="22">
        <v>2028</v>
      </c>
      <c r="F1030" s="22">
        <v>2029</v>
      </c>
      <c r="G1030" s="22">
        <v>2030</v>
      </c>
      <c r="H1030" s="22">
        <v>2031</v>
      </c>
      <c r="I1030" s="22">
        <v>2032</v>
      </c>
      <c r="J1030" s="22">
        <v>2033</v>
      </c>
      <c r="K1030" s="22">
        <v>2034</v>
      </c>
      <c r="L1030" s="22">
        <v>2035</v>
      </c>
      <c r="M1030" s="22">
        <v>2036</v>
      </c>
    </row>
    <row r="1031">
      <c r="A1031" s="3"/>
      <c r="B1031" s="3"/>
      <c r="C1031" s="74"/>
      <c r="D1031" s="74"/>
      <c r="E1031" s="74"/>
      <c r="F1031" s="74"/>
      <c r="G1031" s="74"/>
      <c r="H1031" s="74"/>
      <c r="I1031" s="74"/>
      <c r="J1031" s="74"/>
      <c r="K1031" s="74"/>
      <c r="L1031" s="74"/>
      <c r="M1031" s="74"/>
      <c r="N1031" s="78">
        <f>Sum(C1031:M1031)</f>
        <v>0</v>
      </c>
    </row>
    <row r="1034">
      <c r="A1034" s="22" t="s">
        <v>473</v>
      </c>
      <c r="C1034" s="22" t="s">
        <v>544</v>
      </c>
      <c r="D1034" s="22"/>
      <c r="E1034" s="22"/>
      <c r="F1034" s="22"/>
      <c r="G1034" s="22"/>
      <c r="H1034" s="22"/>
      <c r="I1034" s="22"/>
      <c r="J1034" s="22"/>
      <c r="K1034" s="22"/>
      <c r="L1034" s="22"/>
      <c r="M1034" s="22"/>
    </row>
    <row r="1035">
      <c r="A1035" s="22"/>
      <c r="C1035" s="22">
        <v>2026</v>
      </c>
      <c r="D1035" s="22">
        <v>2027</v>
      </c>
      <c r="E1035" s="22">
        <v>2028</v>
      </c>
      <c r="F1035" s="22">
        <v>2029</v>
      </c>
      <c r="G1035" s="22">
        <v>2030</v>
      </c>
      <c r="H1035" s="22">
        <v>2031</v>
      </c>
      <c r="I1035" s="22">
        <v>2032</v>
      </c>
      <c r="J1035" s="22">
        <v>2033</v>
      </c>
      <c r="K1035" s="22">
        <v>2034</v>
      </c>
      <c r="L1035" s="22">
        <v>2035</v>
      </c>
      <c r="M1035" s="22">
        <v>2036</v>
      </c>
    </row>
    <row r="1036">
      <c r="A1036" s="3" t="s">
        <v>545</v>
      </c>
      <c r="B1036" s="3"/>
      <c r="C1036" s="90">
        <v>0</v>
      </c>
      <c r="D1036" s="90">
        <v>0</v>
      </c>
      <c r="E1036" s="90">
        <v>0</v>
      </c>
      <c r="F1036" s="90">
        <v>0</v>
      </c>
      <c r="G1036" s="90">
        <v>0</v>
      </c>
      <c r="H1036" s="90">
        <v>0</v>
      </c>
      <c r="I1036" s="90">
        <v>0</v>
      </c>
      <c r="J1036" s="90">
        <v>0</v>
      </c>
      <c r="K1036" s="90">
        <v>0</v>
      </c>
      <c r="L1036" s="90">
        <v>0</v>
      </c>
      <c r="M1036" s="90">
        <v>0</v>
      </c>
    </row>
    <row r="1037">
      <c r="A1037" s="3" t="s">
        <v>546</v>
      </c>
      <c r="B1037" s="3"/>
      <c r="C1037" s="90">
        <v>0</v>
      </c>
      <c r="D1037" s="90">
        <v>0</v>
      </c>
      <c r="E1037" s="90">
        <v>0</v>
      </c>
      <c r="F1037" s="90">
        <v>0</v>
      </c>
      <c r="G1037" s="90">
        <v>0</v>
      </c>
      <c r="H1037" s="90">
        <v>0</v>
      </c>
      <c r="I1037" s="90">
        <v>0</v>
      </c>
      <c r="J1037" s="90">
        <v>0</v>
      </c>
      <c r="K1037" s="90">
        <v>0</v>
      </c>
      <c r="L1037" s="90">
        <v>0</v>
      </c>
      <c r="M1037" s="90">
        <v>0</v>
      </c>
    </row>
    <row r="1038">
      <c r="A1038" s="3" t="s">
        <v>547</v>
      </c>
      <c r="B1038" s="3"/>
      <c r="C1038" s="90">
        <v>0</v>
      </c>
      <c r="D1038" s="90">
        <v>0</v>
      </c>
      <c r="E1038" s="90">
        <v>0</v>
      </c>
      <c r="F1038" s="90">
        <v>0</v>
      </c>
      <c r="G1038" s="90">
        <v>0</v>
      </c>
      <c r="H1038" s="90">
        <v>0</v>
      </c>
      <c r="I1038" s="90">
        <v>0</v>
      </c>
      <c r="J1038" s="90">
        <v>0</v>
      </c>
      <c r="K1038" s="90">
        <v>0</v>
      </c>
      <c r="L1038" s="90">
        <v>0</v>
      </c>
      <c r="M1038" s="90">
        <v>0</v>
      </c>
    </row>
    <row r="1039">
      <c r="A1039" s="3" t="s">
        <v>548</v>
      </c>
      <c r="B1039" s="3"/>
      <c r="C1039" s="90">
        <v>0</v>
      </c>
      <c r="D1039" s="90">
        <v>0</v>
      </c>
      <c r="E1039" s="90">
        <v>0</v>
      </c>
      <c r="F1039" s="90">
        <v>0</v>
      </c>
      <c r="G1039" s="90">
        <v>0</v>
      </c>
      <c r="H1039" s="90">
        <v>0</v>
      </c>
      <c r="I1039" s="90">
        <v>0</v>
      </c>
      <c r="J1039" s="90">
        <v>0</v>
      </c>
      <c r="K1039" s="90">
        <v>0</v>
      </c>
      <c r="L1039" s="90">
        <v>0</v>
      </c>
      <c r="M1039" s="90">
        <v>0</v>
      </c>
    </row>
    <row r="1040">
      <c r="A1040" s="3" t="s">
        <v>549</v>
      </c>
      <c r="B1040" s="3"/>
      <c r="C1040" s="90">
        <v>0</v>
      </c>
      <c r="D1040" s="90">
        <v>0</v>
      </c>
      <c r="E1040" s="90">
        <v>0</v>
      </c>
      <c r="F1040" s="90">
        <v>0</v>
      </c>
      <c r="G1040" s="90">
        <v>0</v>
      </c>
      <c r="H1040" s="90">
        <v>0</v>
      </c>
      <c r="I1040" s="90">
        <v>0</v>
      </c>
      <c r="J1040" s="90">
        <v>0</v>
      </c>
      <c r="K1040" s="90">
        <v>0</v>
      </c>
      <c r="L1040" s="90">
        <v>0</v>
      </c>
      <c r="M1040" s="90">
        <v>0</v>
      </c>
    </row>
    <row r="1041">
      <c r="A1041" s="3" t="s">
        <v>550</v>
      </c>
      <c r="B1041" s="3"/>
      <c r="C1041" s="90">
        <v>0</v>
      </c>
      <c r="D1041" s="90">
        <v>0</v>
      </c>
      <c r="E1041" s="90">
        <v>0</v>
      </c>
      <c r="F1041" s="90">
        <v>0</v>
      </c>
      <c r="G1041" s="90">
        <v>0</v>
      </c>
      <c r="H1041" s="90">
        <v>0</v>
      </c>
      <c r="I1041" s="90">
        <v>0</v>
      </c>
      <c r="J1041" s="90">
        <v>0</v>
      </c>
      <c r="K1041" s="90">
        <v>0</v>
      </c>
      <c r="L1041" s="90">
        <v>0</v>
      </c>
      <c r="M1041" s="90">
        <v>0</v>
      </c>
    </row>
    <row r="1042">
      <c r="A1042" s="3" t="s">
        <v>551</v>
      </c>
      <c r="B1042" s="3"/>
      <c r="C1042" s="90">
        <v>0</v>
      </c>
      <c r="D1042" s="90">
        <v>0</v>
      </c>
      <c r="E1042" s="90"/>
      <c r="F1042" s="90">
        <v>0</v>
      </c>
      <c r="G1042" s="90"/>
      <c r="H1042" s="90">
        <v>0</v>
      </c>
      <c r="I1042" s="90"/>
      <c r="J1042" s="90"/>
      <c r="K1042" s="90"/>
      <c r="L1042" s="90"/>
      <c r="M1042" s="90">
        <v>0</v>
      </c>
    </row>
    <row r="1044">
      <c r="A1044" s="25" t="s">
        <v>155</v>
      </c>
      <c r="B1044" s="25"/>
      <c r="C1044" s="25"/>
      <c r="D1044" s="25"/>
      <c r="E1044" s="25"/>
      <c r="F1044" s="25"/>
      <c r="G1044" s="25"/>
      <c r="H1044" s="25"/>
      <c r="I1044" s="25"/>
      <c r="J1044" s="25"/>
      <c r="K1044" s="25"/>
      <c r="L1044" s="24"/>
      <c r="M1044" s="24"/>
    </row>
    <row r="1047">
      <c r="A1047" s="22" t="s">
        <v>363</v>
      </c>
      <c r="C1047" s="22" t="s">
        <v>502</v>
      </c>
      <c r="D1047" s="22"/>
      <c r="E1047" s="22"/>
      <c r="F1047" s="22"/>
      <c r="G1047" s="22"/>
      <c r="H1047" s="22"/>
      <c r="I1047" s="22"/>
      <c r="J1047" s="22"/>
      <c r="K1047" s="22"/>
      <c r="L1047" s="22"/>
      <c r="M1047" s="22"/>
    </row>
    <row r="1048">
      <c r="A1048" s="22"/>
      <c r="C1048" s="22">
        <v>2026</v>
      </c>
      <c r="D1048" s="22">
        <v>2027</v>
      </c>
      <c r="E1048" s="22">
        <v>2028</v>
      </c>
      <c r="F1048" s="22">
        <v>2029</v>
      </c>
      <c r="G1048" s="22">
        <v>2030</v>
      </c>
      <c r="H1048" s="22">
        <v>2031</v>
      </c>
      <c r="I1048" s="22">
        <v>2032</v>
      </c>
      <c r="J1048" s="22">
        <v>2033</v>
      </c>
      <c r="K1048" s="22">
        <v>2034</v>
      </c>
      <c r="L1048" s="22">
        <v>2035</v>
      </c>
      <c r="M1048" s="22">
        <v>2036</v>
      </c>
    </row>
    <row r="1049">
      <c r="A1049" s="3" t="s">
        <v>504</v>
      </c>
      <c r="B1049" s="3"/>
      <c r="C1049" s="82">
        <v>0</v>
      </c>
      <c r="D1049" s="82">
        <v>0</v>
      </c>
      <c r="E1049" s="82">
        <v>0</v>
      </c>
      <c r="F1049" s="82">
        <v>0</v>
      </c>
      <c r="G1049" s="82">
        <v>0</v>
      </c>
      <c r="H1049" s="82">
        <v>0</v>
      </c>
      <c r="I1049" s="82">
        <v>0</v>
      </c>
      <c r="J1049" s="82">
        <v>0</v>
      </c>
      <c r="K1049" s="82">
        <v>0</v>
      </c>
      <c r="L1049" s="82">
        <v>0</v>
      </c>
      <c r="M1049" s="82">
        <v>0</v>
      </c>
    </row>
    <row r="1050">
      <c r="A1050" s="3" t="s">
        <v>506</v>
      </c>
      <c r="B1050" s="3"/>
      <c r="C1050" s="83">
        <v>0</v>
      </c>
      <c r="D1050" s="83">
        <v>0</v>
      </c>
      <c r="E1050" s="83">
        <v>0</v>
      </c>
      <c r="F1050" s="83">
        <v>0</v>
      </c>
      <c r="G1050" s="83">
        <v>0</v>
      </c>
      <c r="H1050" s="83">
        <v>0</v>
      </c>
      <c r="I1050" s="83">
        <v>0</v>
      </c>
      <c r="J1050" s="83">
        <v>0</v>
      </c>
      <c r="K1050" s="83">
        <v>0</v>
      </c>
      <c r="L1050" s="83">
        <v>0</v>
      </c>
      <c r="M1050" s="83">
        <v>0</v>
      </c>
    </row>
    <row r="1051">
      <c r="A1051" s="3" t="s">
        <v>507</v>
      </c>
      <c r="B1051" s="3"/>
      <c r="C1051" s="83">
        <v>0</v>
      </c>
      <c r="D1051" s="83">
        <v>0</v>
      </c>
      <c r="E1051" s="83">
        <v>0</v>
      </c>
      <c r="F1051" s="83">
        <v>0</v>
      </c>
      <c r="G1051" s="83">
        <v>0</v>
      </c>
      <c r="H1051" s="83">
        <v>0</v>
      </c>
      <c r="I1051" s="83">
        <v>0</v>
      </c>
      <c r="J1051" s="83">
        <v>0</v>
      </c>
      <c r="K1051" s="83">
        <v>0</v>
      </c>
      <c r="L1051" s="83">
        <v>0</v>
      </c>
      <c r="M1051" s="83">
        <v>0</v>
      </c>
    </row>
    <row r="1052">
      <c r="A1052" s="3" t="s">
        <v>508</v>
      </c>
      <c r="B1052" s="3"/>
      <c r="C1052" s="83">
        <v>0</v>
      </c>
      <c r="D1052" s="83">
        <v>0</v>
      </c>
      <c r="E1052" s="83">
        <v>0</v>
      </c>
      <c r="F1052" s="83">
        <v>0</v>
      </c>
      <c r="G1052" s="83">
        <v>0</v>
      </c>
      <c r="H1052" s="83">
        <v>0</v>
      </c>
      <c r="I1052" s="83">
        <v>0</v>
      </c>
      <c r="J1052" s="83">
        <v>0</v>
      </c>
      <c r="K1052" s="83">
        <v>0</v>
      </c>
      <c r="L1052" s="83">
        <v>0</v>
      </c>
      <c r="M1052" s="83">
        <v>0</v>
      </c>
    </row>
    <row r="1053">
      <c r="A1053" s="3" t="s">
        <v>509</v>
      </c>
      <c r="B1053" s="3"/>
      <c r="C1053" s="83">
        <v>0</v>
      </c>
      <c r="D1053" s="83">
        <v>0</v>
      </c>
      <c r="E1053" s="83">
        <v>0</v>
      </c>
      <c r="F1053" s="83">
        <v>0</v>
      </c>
      <c r="G1053" s="83">
        <v>0</v>
      </c>
      <c r="H1053" s="83">
        <v>0</v>
      </c>
      <c r="I1053" s="83">
        <v>0</v>
      </c>
      <c r="J1053" s="83">
        <v>0</v>
      </c>
      <c r="K1053" s="83">
        <v>0</v>
      </c>
      <c r="L1053" s="83">
        <v>0</v>
      </c>
      <c r="M1053" s="83">
        <v>0</v>
      </c>
    </row>
    <row r="1054">
      <c r="A1054" s="3" t="s">
        <v>510</v>
      </c>
      <c r="B1054" s="3"/>
      <c r="C1054" s="83">
        <v>0</v>
      </c>
      <c r="D1054" s="83">
        <v>0</v>
      </c>
      <c r="E1054" s="83">
        <v>0</v>
      </c>
      <c r="F1054" s="83">
        <v>0</v>
      </c>
      <c r="G1054" s="83">
        <v>0</v>
      </c>
      <c r="H1054" s="83">
        <v>0</v>
      </c>
      <c r="I1054" s="83">
        <v>0</v>
      </c>
      <c r="J1054" s="83">
        <v>0</v>
      </c>
      <c r="K1054" s="83">
        <v>0</v>
      </c>
      <c r="L1054" s="83">
        <v>0</v>
      </c>
      <c r="M1054" s="83">
        <v>0</v>
      </c>
    </row>
    <row r="1058">
      <c r="A1058" s="22" t="s">
        <v>529</v>
      </c>
      <c r="C1058" s="22" t="s">
        <v>363</v>
      </c>
      <c r="D1058" s="22"/>
      <c r="E1058" s="22"/>
      <c r="F1058" s="22"/>
      <c r="G1058" s="22"/>
      <c r="H1058" s="22"/>
      <c r="I1058" s="22"/>
      <c r="J1058" s="22"/>
      <c r="K1058" s="22"/>
      <c r="L1058" s="22"/>
      <c r="M1058" s="22"/>
    </row>
    <row r="1059">
      <c r="A1059" s="22"/>
      <c r="B1059" s="3"/>
      <c r="C1059" s="22">
        <v>2026</v>
      </c>
      <c r="D1059" s="22">
        <v>2027</v>
      </c>
      <c r="E1059" s="22">
        <v>2028</v>
      </c>
      <c r="F1059" s="22">
        <v>2029</v>
      </c>
      <c r="G1059" s="22">
        <v>2030</v>
      </c>
      <c r="H1059" s="22">
        <v>2031</v>
      </c>
      <c r="I1059" s="22">
        <v>2032</v>
      </c>
      <c r="J1059" s="22">
        <v>2033</v>
      </c>
      <c r="K1059" s="22">
        <v>2034</v>
      </c>
      <c r="L1059" s="22">
        <v>2035</v>
      </c>
      <c r="M1059" s="22">
        <v>2036</v>
      </c>
      <c r="N1059" s="22" t="s">
        <v>530</v>
      </c>
    </row>
    <row r="1060">
      <c r="A1060" s="3" t="s">
        <v>117</v>
      </c>
      <c r="B1060" s="3"/>
      <c r="C1060" s="74">
        <v>0</v>
      </c>
      <c r="D1060" s="74">
        <v>0</v>
      </c>
      <c r="E1060" s="74">
        <v>0</v>
      </c>
      <c r="F1060" s="74">
        <v>0</v>
      </c>
      <c r="G1060" s="74">
        <v>0</v>
      </c>
      <c r="H1060" s="74">
        <v>0</v>
      </c>
      <c r="I1060" s="74">
        <v>0</v>
      </c>
      <c r="J1060" s="74">
        <v>0</v>
      </c>
      <c r="K1060" s="74">
        <v>0</v>
      </c>
      <c r="L1060" s="74">
        <v>0</v>
      </c>
      <c r="M1060" s="74">
        <v>0</v>
      </c>
      <c r="N1060" s="78">
        <f>Sum(C1060:M1060)</f>
        <v>0</v>
      </c>
      <c r="O1060" s="76" t="e">
        <f>(N1060/N1067)</f>
        <v>#DIV/0!</v>
      </c>
      <c r="P1060" s="0" t="s">
        <v>531</v>
      </c>
    </row>
    <row r="1061">
      <c r="A1061" s="3" t="s">
        <v>121</v>
      </c>
      <c r="B1061" s="3"/>
      <c r="C1061" s="74">
        <v>0</v>
      </c>
      <c r="D1061" s="74">
        <v>0</v>
      </c>
      <c r="E1061" s="74">
        <v>0</v>
      </c>
      <c r="F1061" s="74">
        <v>0</v>
      </c>
      <c r="G1061" s="74">
        <v>0</v>
      </c>
      <c r="H1061" s="74">
        <v>0</v>
      </c>
      <c r="I1061" s="74">
        <v>0</v>
      </c>
      <c r="J1061" s="74">
        <v>0</v>
      </c>
      <c r="K1061" s="74">
        <v>0</v>
      </c>
      <c r="L1061" s="74">
        <v>0</v>
      </c>
      <c r="M1061" s="74">
        <v>0</v>
      </c>
      <c r="N1061" s="78">
        <f>Sum(C1061:M1061)</f>
        <v>0</v>
      </c>
      <c r="O1061" s="76" t="e">
        <f>(N1061/N1067)</f>
        <v>#DIV/0!</v>
      </c>
      <c r="P1061" s="0" t="s">
        <v>532</v>
      </c>
    </row>
    <row r="1062">
      <c r="A1062" s="3" t="s">
        <v>122</v>
      </c>
      <c r="B1062" s="3"/>
      <c r="C1062" s="74">
        <v>0</v>
      </c>
      <c r="D1062" s="74">
        <v>0</v>
      </c>
      <c r="E1062" s="74">
        <v>0</v>
      </c>
      <c r="F1062" s="74">
        <v>0</v>
      </c>
      <c r="G1062" s="74">
        <v>0</v>
      </c>
      <c r="H1062" s="74">
        <v>0</v>
      </c>
      <c r="I1062" s="74">
        <v>0</v>
      </c>
      <c r="J1062" s="74">
        <v>0</v>
      </c>
      <c r="K1062" s="74">
        <v>0</v>
      </c>
      <c r="L1062" s="74">
        <v>0</v>
      </c>
      <c r="M1062" s="74">
        <v>0</v>
      </c>
      <c r="N1062" s="78">
        <f>Sum(C1062:M1062)</f>
        <v>0</v>
      </c>
      <c r="O1062" s="76" t="e">
        <f>(N1062/N1067)</f>
        <v>#DIV/0!</v>
      </c>
      <c r="P1062" s="0" t="s">
        <v>533</v>
      </c>
    </row>
    <row r="1063">
      <c r="A1063" s="3" t="s">
        <v>124</v>
      </c>
      <c r="B1063" s="3"/>
      <c r="C1063" s="74">
        <v>0</v>
      </c>
      <c r="D1063" s="74">
        <v>0</v>
      </c>
      <c r="E1063" s="74">
        <v>0</v>
      </c>
      <c r="F1063" s="74">
        <v>0</v>
      </c>
      <c r="G1063" s="74">
        <v>0</v>
      </c>
      <c r="H1063" s="74">
        <v>0</v>
      </c>
      <c r="I1063" s="74">
        <v>0</v>
      </c>
      <c r="J1063" s="74">
        <v>0</v>
      </c>
      <c r="K1063" s="74">
        <v>0</v>
      </c>
      <c r="L1063" s="74">
        <v>0</v>
      </c>
      <c r="M1063" s="74">
        <v>0</v>
      </c>
      <c r="N1063" s="78">
        <f>Sum(C1063:M1063)</f>
        <v>0</v>
      </c>
      <c r="O1063" s="76" t="e">
        <f>(N1063/N1067)</f>
        <v>#DIV/0!</v>
      </c>
      <c r="P1063" s="0" t="s">
        <v>534</v>
      </c>
    </row>
    <row r="1064">
      <c r="A1064" s="3" t="s">
        <v>535</v>
      </c>
      <c r="B1064" s="3"/>
      <c r="C1064" s="74">
        <v>0</v>
      </c>
      <c r="D1064" s="74">
        <v>0</v>
      </c>
      <c r="E1064" s="74">
        <v>0</v>
      </c>
      <c r="F1064" s="74">
        <v>0</v>
      </c>
      <c r="G1064" s="74">
        <v>0</v>
      </c>
      <c r="H1064" s="74">
        <v>0</v>
      </c>
      <c r="I1064" s="74">
        <v>0</v>
      </c>
      <c r="J1064" s="74">
        <v>0</v>
      </c>
      <c r="K1064" s="74">
        <v>0</v>
      </c>
      <c r="L1064" s="74">
        <v>0</v>
      </c>
      <c r="M1064" s="74">
        <v>0</v>
      </c>
      <c r="N1064" s="78">
        <f>Sum(C1064:M1064)</f>
        <v>0</v>
      </c>
      <c r="O1064" s="76" t="e">
        <f>(N1064/N1067)</f>
        <v>#DIV/0!</v>
      </c>
      <c r="P1064" s="0" t="s">
        <v>536</v>
      </c>
    </row>
    <row r="1065">
      <c r="A1065" s="3" t="s">
        <v>537</v>
      </c>
      <c r="B1065" s="3"/>
      <c r="C1065" s="74">
        <v>0</v>
      </c>
      <c r="D1065" s="74">
        <v>0</v>
      </c>
      <c r="E1065" s="74">
        <v>0</v>
      </c>
      <c r="F1065" s="74">
        <v>0</v>
      </c>
      <c r="G1065" s="74">
        <v>0</v>
      </c>
      <c r="H1065" s="74">
        <v>0</v>
      </c>
      <c r="I1065" s="74">
        <v>0</v>
      </c>
      <c r="J1065" s="74">
        <v>0</v>
      </c>
      <c r="K1065" s="74">
        <v>0</v>
      </c>
      <c r="L1065" s="74">
        <v>0</v>
      </c>
      <c r="M1065" s="74">
        <v>0</v>
      </c>
      <c r="N1065" s="78">
        <f>Sum(C1065:M1065)</f>
        <v>0</v>
      </c>
      <c r="O1065" s="76" t="e">
        <f>(N1065/N1067)</f>
        <v>#DIV/0!</v>
      </c>
      <c r="P1065" s="0" t="s">
        <v>538</v>
      </c>
    </row>
    <row r="1066">
      <c r="A1066" s="3" t="s">
        <v>539</v>
      </c>
      <c r="B1066" s="3"/>
      <c r="C1066" s="74">
        <v>0</v>
      </c>
      <c r="D1066" s="74">
        <v>0</v>
      </c>
      <c r="E1066" s="74">
        <v>0</v>
      </c>
      <c r="F1066" s="74">
        <v>0</v>
      </c>
      <c r="G1066" s="74">
        <v>0</v>
      </c>
      <c r="H1066" s="74">
        <v>0</v>
      </c>
      <c r="I1066" s="74">
        <v>0</v>
      </c>
      <c r="J1066" s="74">
        <v>0</v>
      </c>
      <c r="K1066" s="74">
        <v>0</v>
      </c>
      <c r="L1066" s="74">
        <v>0</v>
      </c>
      <c r="M1066" s="74">
        <v>0</v>
      </c>
      <c r="N1066" s="78">
        <f>Sum(C1066:M1066)</f>
        <v>0</v>
      </c>
      <c r="O1066" s="76" t="e">
        <f>(N1066/N1067)</f>
        <v>#DIV/0!</v>
      </c>
      <c r="P1066" s="0" t="s">
        <v>540</v>
      </c>
    </row>
    <row r="1067">
      <c r="A1067" s="3" t="s">
        <v>541</v>
      </c>
      <c r="B1067" s="3"/>
      <c r="C1067" s="74"/>
      <c r="D1067" s="74"/>
      <c r="E1067" s="74"/>
      <c r="F1067" s="74"/>
      <c r="G1067" s="74"/>
      <c r="H1067" s="74"/>
      <c r="I1067" s="74"/>
      <c r="J1067" s="74"/>
      <c r="K1067" s="74"/>
      <c r="L1067" s="74"/>
      <c r="M1067" s="74"/>
      <c r="N1067" s="78">
        <f>Sum(C1067:M1067)</f>
        <v>0</v>
      </c>
    </row>
    <row r="1068">
      <c r="A1068" s="3"/>
      <c r="B1068" s="3"/>
      <c r="C1068" s="74"/>
      <c r="D1068" s="74"/>
      <c r="E1068" s="74"/>
      <c r="F1068" s="74"/>
      <c r="G1068" s="74"/>
      <c r="H1068" s="74"/>
      <c r="I1068" s="74"/>
      <c r="J1068" s="74"/>
      <c r="K1068" s="74"/>
      <c r="L1068" s="74"/>
      <c r="M1068" s="74"/>
      <c r="N1068" s="78"/>
    </row>
    <row r="1069">
      <c r="A1069" s="3" t="s">
        <v>542</v>
      </c>
      <c r="B1069" s="3"/>
      <c r="C1069" s="74">
        <v>0</v>
      </c>
      <c r="D1069" s="74">
        <v>0</v>
      </c>
      <c r="E1069" s="74">
        <v>0</v>
      </c>
      <c r="F1069" s="74">
        <v>0</v>
      </c>
      <c r="G1069" s="74">
        <v>0</v>
      </c>
      <c r="H1069" s="74">
        <v>0</v>
      </c>
      <c r="I1069" s="74">
        <v>0</v>
      </c>
      <c r="J1069" s="74">
        <v>0</v>
      </c>
      <c r="K1069" s="74">
        <v>0</v>
      </c>
      <c r="L1069" s="74">
        <v>0</v>
      </c>
      <c r="M1069" s="74">
        <v>0</v>
      </c>
      <c r="N1069" s="78">
        <f>Sum(C1069:M1069)</f>
        <v>0</v>
      </c>
    </row>
    <row r="1071">
      <c r="A1071" s="22" t="s">
        <v>543</v>
      </c>
      <c r="C1071" s="22" t="s">
        <v>363</v>
      </c>
      <c r="D1071" s="22"/>
      <c r="E1071" s="22"/>
      <c r="F1071" s="22"/>
      <c r="G1071" s="22"/>
      <c r="H1071" s="22"/>
      <c r="I1071" s="22"/>
      <c r="J1071" s="22"/>
      <c r="K1071" s="22"/>
      <c r="L1071" s="22"/>
      <c r="M1071" s="22"/>
    </row>
    <row r="1072">
      <c r="A1072" s="22"/>
      <c r="C1072" s="22">
        <v>2026</v>
      </c>
      <c r="D1072" s="22">
        <v>2027</v>
      </c>
      <c r="E1072" s="22">
        <v>2028</v>
      </c>
      <c r="F1072" s="22">
        <v>2029</v>
      </c>
      <c r="G1072" s="22">
        <v>2030</v>
      </c>
      <c r="H1072" s="22">
        <v>2031</v>
      </c>
      <c r="I1072" s="22">
        <v>2032</v>
      </c>
      <c r="J1072" s="22">
        <v>2033</v>
      </c>
      <c r="K1072" s="22">
        <v>2034</v>
      </c>
      <c r="L1072" s="22">
        <v>2035</v>
      </c>
      <c r="M1072" s="22">
        <v>2036</v>
      </c>
    </row>
    <row r="1073">
      <c r="A1073" s="3"/>
      <c r="B1073" s="3"/>
      <c r="C1073" s="74"/>
      <c r="D1073" s="74"/>
      <c r="E1073" s="74"/>
      <c r="F1073" s="74"/>
      <c r="G1073" s="74"/>
      <c r="H1073" s="74"/>
      <c r="I1073" s="74"/>
      <c r="J1073" s="74"/>
      <c r="K1073" s="74"/>
      <c r="L1073" s="74"/>
      <c r="M1073" s="74"/>
      <c r="N1073" s="78">
        <f>Sum(C1073:M1073)</f>
        <v>0</v>
      </c>
    </row>
    <row r="1076">
      <c r="A1076" s="22" t="s">
        <v>473</v>
      </c>
      <c r="C1076" s="22" t="s">
        <v>544</v>
      </c>
      <c r="D1076" s="22"/>
      <c r="E1076" s="22"/>
      <c r="F1076" s="22"/>
      <c r="G1076" s="22"/>
      <c r="H1076" s="22"/>
      <c r="I1076" s="22"/>
      <c r="J1076" s="22"/>
      <c r="K1076" s="22"/>
      <c r="L1076" s="22"/>
      <c r="M1076" s="22"/>
    </row>
    <row r="1077">
      <c r="A1077" s="22"/>
      <c r="C1077" s="22">
        <v>2026</v>
      </c>
      <c r="D1077" s="22">
        <v>2027</v>
      </c>
      <c r="E1077" s="22">
        <v>2028</v>
      </c>
      <c r="F1077" s="22">
        <v>2029</v>
      </c>
      <c r="G1077" s="22">
        <v>2030</v>
      </c>
      <c r="H1077" s="22">
        <v>2031</v>
      </c>
      <c r="I1077" s="22">
        <v>2032</v>
      </c>
      <c r="J1077" s="22">
        <v>2033</v>
      </c>
      <c r="K1077" s="22">
        <v>2034</v>
      </c>
      <c r="L1077" s="22">
        <v>2035</v>
      </c>
      <c r="M1077" s="22">
        <v>2036</v>
      </c>
    </row>
    <row r="1078">
      <c r="A1078" s="3" t="s">
        <v>545</v>
      </c>
      <c r="B1078" s="3"/>
      <c r="C1078" s="90">
        <v>0</v>
      </c>
      <c r="D1078" s="90">
        <v>0</v>
      </c>
      <c r="E1078" s="90">
        <v>0</v>
      </c>
      <c r="F1078" s="90">
        <v>0</v>
      </c>
      <c r="G1078" s="90">
        <v>0</v>
      </c>
      <c r="H1078" s="90">
        <v>0</v>
      </c>
      <c r="I1078" s="90">
        <v>0</v>
      </c>
      <c r="J1078" s="90">
        <v>0</v>
      </c>
      <c r="K1078" s="90">
        <v>0</v>
      </c>
      <c r="L1078" s="90">
        <v>0</v>
      </c>
      <c r="M1078" s="90">
        <v>0</v>
      </c>
    </row>
    <row r="1079">
      <c r="A1079" s="3" t="s">
        <v>546</v>
      </c>
      <c r="B1079" s="3"/>
      <c r="C1079" s="90">
        <v>0</v>
      </c>
      <c r="D1079" s="90">
        <v>0</v>
      </c>
      <c r="E1079" s="90">
        <v>0</v>
      </c>
      <c r="F1079" s="90">
        <v>0</v>
      </c>
      <c r="G1079" s="90">
        <v>0</v>
      </c>
      <c r="H1079" s="90">
        <v>0</v>
      </c>
      <c r="I1079" s="90">
        <v>0</v>
      </c>
      <c r="J1079" s="90">
        <v>0</v>
      </c>
      <c r="K1079" s="90">
        <v>0</v>
      </c>
      <c r="L1079" s="90">
        <v>0</v>
      </c>
      <c r="M1079" s="90">
        <v>0</v>
      </c>
    </row>
    <row r="1080">
      <c r="A1080" s="3" t="s">
        <v>547</v>
      </c>
      <c r="B1080" s="3"/>
      <c r="C1080" s="90">
        <v>0</v>
      </c>
      <c r="D1080" s="90">
        <v>0</v>
      </c>
      <c r="E1080" s="90">
        <v>0</v>
      </c>
      <c r="F1080" s="90">
        <v>0</v>
      </c>
      <c r="G1080" s="90">
        <v>0</v>
      </c>
      <c r="H1080" s="90">
        <v>0</v>
      </c>
      <c r="I1080" s="90">
        <v>0</v>
      </c>
      <c r="J1080" s="90">
        <v>0</v>
      </c>
      <c r="K1080" s="90">
        <v>0</v>
      </c>
      <c r="L1080" s="90">
        <v>0</v>
      </c>
      <c r="M1080" s="90">
        <v>0</v>
      </c>
    </row>
    <row r="1081">
      <c r="A1081" s="3" t="s">
        <v>548</v>
      </c>
      <c r="B1081" s="3"/>
      <c r="C1081" s="90">
        <v>0</v>
      </c>
      <c r="D1081" s="90">
        <v>0</v>
      </c>
      <c r="E1081" s="90">
        <v>0</v>
      </c>
      <c r="F1081" s="90">
        <v>0</v>
      </c>
      <c r="G1081" s="90">
        <v>0</v>
      </c>
      <c r="H1081" s="90">
        <v>0</v>
      </c>
      <c r="I1081" s="90">
        <v>0</v>
      </c>
      <c r="J1081" s="90">
        <v>0</v>
      </c>
      <c r="K1081" s="90">
        <v>0</v>
      </c>
      <c r="L1081" s="90">
        <v>0</v>
      </c>
      <c r="M1081" s="90">
        <v>0</v>
      </c>
    </row>
    <row r="1082">
      <c r="A1082" s="3" t="s">
        <v>549</v>
      </c>
      <c r="B1082" s="3"/>
      <c r="C1082" s="90">
        <v>0</v>
      </c>
      <c r="D1082" s="90">
        <v>0</v>
      </c>
      <c r="E1082" s="90">
        <v>0</v>
      </c>
      <c r="F1082" s="90">
        <v>0</v>
      </c>
      <c r="G1082" s="90">
        <v>0</v>
      </c>
      <c r="H1082" s="90">
        <v>0</v>
      </c>
      <c r="I1082" s="90">
        <v>0</v>
      </c>
      <c r="J1082" s="90">
        <v>0</v>
      </c>
      <c r="K1082" s="90">
        <v>0</v>
      </c>
      <c r="L1082" s="90">
        <v>0</v>
      </c>
      <c r="M1082" s="90">
        <v>0</v>
      </c>
    </row>
    <row r="1083">
      <c r="A1083" s="3" t="s">
        <v>550</v>
      </c>
      <c r="B1083" s="3"/>
      <c r="C1083" s="90">
        <v>0</v>
      </c>
      <c r="D1083" s="90">
        <v>0</v>
      </c>
      <c r="E1083" s="90">
        <v>0</v>
      </c>
      <c r="F1083" s="90">
        <v>0</v>
      </c>
      <c r="G1083" s="90">
        <v>0</v>
      </c>
      <c r="H1083" s="90">
        <v>0</v>
      </c>
      <c r="I1083" s="90">
        <v>0</v>
      </c>
      <c r="J1083" s="90">
        <v>0</v>
      </c>
      <c r="K1083" s="90">
        <v>0</v>
      </c>
      <c r="L1083" s="90">
        <v>0</v>
      </c>
      <c r="M1083" s="90">
        <v>0</v>
      </c>
    </row>
    <row r="1084">
      <c r="A1084" s="3" t="s">
        <v>551</v>
      </c>
      <c r="B1084" s="3"/>
      <c r="C1084" s="90">
        <v>0</v>
      </c>
      <c r="D1084" s="90">
        <v>0</v>
      </c>
      <c r="E1084" s="90"/>
      <c r="F1084" s="90">
        <v>0</v>
      </c>
      <c r="G1084" s="90"/>
      <c r="H1084" s="90">
        <v>0</v>
      </c>
      <c r="I1084" s="90"/>
      <c r="J1084" s="90"/>
      <c r="K1084" s="90"/>
      <c r="L1084" s="90"/>
      <c r="M1084" s="90">
        <v>0</v>
      </c>
    </row>
    <row r="1086">
      <c r="A1086" s="25" t="s">
        <v>156</v>
      </c>
      <c r="B1086" s="25"/>
      <c r="C1086" s="25"/>
      <c r="D1086" s="25"/>
      <c r="E1086" s="25"/>
      <c r="F1086" s="25"/>
      <c r="G1086" s="25"/>
      <c r="H1086" s="25"/>
      <c r="I1086" s="25"/>
      <c r="J1086" s="25"/>
      <c r="K1086" s="25"/>
      <c r="L1086" s="24"/>
      <c r="M1086" s="24"/>
    </row>
    <row r="1089">
      <c r="A1089" s="22" t="s">
        <v>363</v>
      </c>
      <c r="C1089" s="22" t="s">
        <v>502</v>
      </c>
      <c r="D1089" s="22"/>
      <c r="E1089" s="22"/>
      <c r="F1089" s="22"/>
      <c r="G1089" s="22"/>
      <c r="H1089" s="22"/>
      <c r="I1089" s="22"/>
      <c r="J1089" s="22"/>
      <c r="K1089" s="22"/>
      <c r="L1089" s="22"/>
      <c r="M1089" s="22"/>
    </row>
    <row r="1090">
      <c r="A1090" s="22"/>
      <c r="C1090" s="22">
        <v>2026</v>
      </c>
      <c r="D1090" s="22">
        <v>2027</v>
      </c>
      <c r="E1090" s="22">
        <v>2028</v>
      </c>
      <c r="F1090" s="22">
        <v>2029</v>
      </c>
      <c r="G1090" s="22">
        <v>2030</v>
      </c>
      <c r="H1090" s="22">
        <v>2031</v>
      </c>
      <c r="I1090" s="22">
        <v>2032</v>
      </c>
      <c r="J1090" s="22">
        <v>2033</v>
      </c>
      <c r="K1090" s="22">
        <v>2034</v>
      </c>
      <c r="L1090" s="22">
        <v>2035</v>
      </c>
      <c r="M1090" s="22">
        <v>2036</v>
      </c>
    </row>
    <row r="1091">
      <c r="A1091" s="3" t="s">
        <v>504</v>
      </c>
      <c r="B1091" s="3"/>
      <c r="C1091" s="82">
        <v>0</v>
      </c>
      <c r="D1091" s="82">
        <v>0</v>
      </c>
      <c r="E1091" s="82">
        <v>0</v>
      </c>
      <c r="F1091" s="82">
        <v>0</v>
      </c>
      <c r="G1091" s="82">
        <v>0</v>
      </c>
      <c r="H1091" s="82">
        <v>0</v>
      </c>
      <c r="I1091" s="82">
        <v>0</v>
      </c>
      <c r="J1091" s="82">
        <v>0</v>
      </c>
      <c r="K1091" s="82">
        <v>0</v>
      </c>
      <c r="L1091" s="82">
        <v>0</v>
      </c>
      <c r="M1091" s="82">
        <v>0</v>
      </c>
    </row>
    <row r="1092">
      <c r="A1092" s="3" t="s">
        <v>506</v>
      </c>
      <c r="B1092" s="3"/>
      <c r="C1092" s="83">
        <v>0</v>
      </c>
      <c r="D1092" s="83">
        <v>0</v>
      </c>
      <c r="E1092" s="83">
        <v>0</v>
      </c>
      <c r="F1092" s="83">
        <v>0</v>
      </c>
      <c r="G1092" s="83">
        <v>0</v>
      </c>
      <c r="H1092" s="83">
        <v>0</v>
      </c>
      <c r="I1092" s="83">
        <v>0</v>
      </c>
      <c r="J1092" s="83">
        <v>0</v>
      </c>
      <c r="K1092" s="83">
        <v>0</v>
      </c>
      <c r="L1092" s="83">
        <v>0</v>
      </c>
      <c r="M1092" s="83">
        <v>0</v>
      </c>
    </row>
    <row r="1093">
      <c r="A1093" s="3" t="s">
        <v>507</v>
      </c>
      <c r="B1093" s="3"/>
      <c r="C1093" s="83">
        <v>0</v>
      </c>
      <c r="D1093" s="83">
        <v>0</v>
      </c>
      <c r="E1093" s="83">
        <v>0</v>
      </c>
      <c r="F1093" s="83">
        <v>0</v>
      </c>
      <c r="G1093" s="83">
        <v>0</v>
      </c>
      <c r="H1093" s="83">
        <v>0</v>
      </c>
      <c r="I1093" s="83">
        <v>0</v>
      </c>
      <c r="J1093" s="83">
        <v>0</v>
      </c>
      <c r="K1093" s="83">
        <v>0</v>
      </c>
      <c r="L1093" s="83">
        <v>0</v>
      </c>
      <c r="M1093" s="83">
        <v>0</v>
      </c>
    </row>
    <row r="1094">
      <c r="A1094" s="3" t="s">
        <v>508</v>
      </c>
      <c r="B1094" s="3"/>
      <c r="C1094" s="83">
        <v>0</v>
      </c>
      <c r="D1094" s="83">
        <v>0</v>
      </c>
      <c r="E1094" s="83">
        <v>0</v>
      </c>
      <c r="F1094" s="83">
        <v>0</v>
      </c>
      <c r="G1094" s="83">
        <v>0</v>
      </c>
      <c r="H1094" s="83">
        <v>0</v>
      </c>
      <c r="I1094" s="83">
        <v>0</v>
      </c>
      <c r="J1094" s="83">
        <v>0</v>
      </c>
      <c r="K1094" s="83">
        <v>0</v>
      </c>
      <c r="L1094" s="83">
        <v>0</v>
      </c>
      <c r="M1094" s="83">
        <v>0</v>
      </c>
    </row>
    <row r="1095">
      <c r="A1095" s="3" t="s">
        <v>509</v>
      </c>
      <c r="B1095" s="3"/>
      <c r="C1095" s="83">
        <v>0</v>
      </c>
      <c r="D1095" s="83">
        <v>0</v>
      </c>
      <c r="E1095" s="83">
        <v>0</v>
      </c>
      <c r="F1095" s="83">
        <v>0</v>
      </c>
      <c r="G1095" s="83">
        <v>0</v>
      </c>
      <c r="H1095" s="83">
        <v>0</v>
      </c>
      <c r="I1095" s="83">
        <v>0</v>
      </c>
      <c r="J1095" s="83">
        <v>0</v>
      </c>
      <c r="K1095" s="83">
        <v>0</v>
      </c>
      <c r="L1095" s="83">
        <v>0</v>
      </c>
      <c r="M1095" s="83">
        <v>0</v>
      </c>
    </row>
    <row r="1096">
      <c r="A1096" s="3" t="s">
        <v>510</v>
      </c>
      <c r="B1096" s="3"/>
      <c r="C1096" s="83">
        <v>0</v>
      </c>
      <c r="D1096" s="83">
        <v>0</v>
      </c>
      <c r="E1096" s="83">
        <v>0</v>
      </c>
      <c r="F1096" s="83">
        <v>0</v>
      </c>
      <c r="G1096" s="83">
        <v>0</v>
      </c>
      <c r="H1096" s="83">
        <v>0</v>
      </c>
      <c r="I1096" s="83">
        <v>0</v>
      </c>
      <c r="J1096" s="83">
        <v>0</v>
      </c>
      <c r="K1096" s="83">
        <v>0</v>
      </c>
      <c r="L1096" s="83">
        <v>0</v>
      </c>
      <c r="M1096" s="83">
        <v>0</v>
      </c>
    </row>
    <row r="1100">
      <c r="A1100" s="22" t="s">
        <v>529</v>
      </c>
      <c r="C1100" s="22" t="s">
        <v>363</v>
      </c>
      <c r="D1100" s="22"/>
      <c r="E1100" s="22"/>
      <c r="F1100" s="22"/>
      <c r="G1100" s="22"/>
      <c r="H1100" s="22"/>
      <c r="I1100" s="22"/>
      <c r="J1100" s="22"/>
      <c r="K1100" s="22"/>
      <c r="L1100" s="22"/>
      <c r="M1100" s="22"/>
    </row>
    <row r="1101">
      <c r="A1101" s="22"/>
      <c r="B1101" s="3"/>
      <c r="C1101" s="22">
        <v>2026</v>
      </c>
      <c r="D1101" s="22">
        <v>2027</v>
      </c>
      <c r="E1101" s="22">
        <v>2028</v>
      </c>
      <c r="F1101" s="22">
        <v>2029</v>
      </c>
      <c r="G1101" s="22">
        <v>2030</v>
      </c>
      <c r="H1101" s="22">
        <v>2031</v>
      </c>
      <c r="I1101" s="22">
        <v>2032</v>
      </c>
      <c r="J1101" s="22">
        <v>2033</v>
      </c>
      <c r="K1101" s="22">
        <v>2034</v>
      </c>
      <c r="L1101" s="22">
        <v>2035</v>
      </c>
      <c r="M1101" s="22">
        <v>2036</v>
      </c>
      <c r="N1101" s="22" t="s">
        <v>530</v>
      </c>
    </row>
    <row r="1102">
      <c r="A1102" s="3" t="s">
        <v>117</v>
      </c>
      <c r="B1102" s="3"/>
      <c r="C1102" s="74">
        <v>0</v>
      </c>
      <c r="D1102" s="74">
        <v>0</v>
      </c>
      <c r="E1102" s="74">
        <v>0</v>
      </c>
      <c r="F1102" s="74">
        <v>0</v>
      </c>
      <c r="G1102" s="74">
        <v>0</v>
      </c>
      <c r="H1102" s="74">
        <v>0</v>
      </c>
      <c r="I1102" s="74">
        <v>0</v>
      </c>
      <c r="J1102" s="74">
        <v>0</v>
      </c>
      <c r="K1102" s="74">
        <v>0</v>
      </c>
      <c r="L1102" s="74">
        <v>0</v>
      </c>
      <c r="M1102" s="74">
        <v>0</v>
      </c>
      <c r="N1102" s="78">
        <f>Sum(C1102:M1102)</f>
        <v>0</v>
      </c>
      <c r="O1102" s="76" t="e">
        <f>(N1102/N1109)</f>
        <v>#DIV/0!</v>
      </c>
      <c r="P1102" s="0" t="s">
        <v>531</v>
      </c>
    </row>
    <row r="1103">
      <c r="A1103" s="3" t="s">
        <v>121</v>
      </c>
      <c r="B1103" s="3"/>
      <c r="C1103" s="74">
        <v>0</v>
      </c>
      <c r="D1103" s="74">
        <v>0</v>
      </c>
      <c r="E1103" s="74">
        <v>0</v>
      </c>
      <c r="F1103" s="74">
        <v>0</v>
      </c>
      <c r="G1103" s="74">
        <v>0</v>
      </c>
      <c r="H1103" s="74">
        <v>0</v>
      </c>
      <c r="I1103" s="74">
        <v>0</v>
      </c>
      <c r="J1103" s="74">
        <v>0</v>
      </c>
      <c r="K1103" s="74">
        <v>0</v>
      </c>
      <c r="L1103" s="74">
        <v>0</v>
      </c>
      <c r="M1103" s="74">
        <v>0</v>
      </c>
      <c r="N1103" s="78">
        <f>Sum(C1103:M1103)</f>
        <v>0</v>
      </c>
      <c r="O1103" s="76" t="e">
        <f>(N1103/N1109)</f>
        <v>#DIV/0!</v>
      </c>
      <c r="P1103" s="0" t="s">
        <v>532</v>
      </c>
    </row>
    <row r="1104">
      <c r="A1104" s="3" t="s">
        <v>122</v>
      </c>
      <c r="B1104" s="3"/>
      <c r="C1104" s="74">
        <v>0</v>
      </c>
      <c r="D1104" s="74">
        <v>0</v>
      </c>
      <c r="E1104" s="74">
        <v>0</v>
      </c>
      <c r="F1104" s="74">
        <v>0</v>
      </c>
      <c r="G1104" s="74">
        <v>0</v>
      </c>
      <c r="H1104" s="74">
        <v>0</v>
      </c>
      <c r="I1104" s="74">
        <v>0</v>
      </c>
      <c r="J1104" s="74">
        <v>0</v>
      </c>
      <c r="K1104" s="74">
        <v>0</v>
      </c>
      <c r="L1104" s="74">
        <v>0</v>
      </c>
      <c r="M1104" s="74">
        <v>0</v>
      </c>
      <c r="N1104" s="78">
        <f>Sum(C1104:M1104)</f>
        <v>0</v>
      </c>
      <c r="O1104" s="76" t="e">
        <f>(N1104/N1109)</f>
        <v>#DIV/0!</v>
      </c>
      <c r="P1104" s="0" t="s">
        <v>533</v>
      </c>
    </row>
    <row r="1105">
      <c r="A1105" s="3" t="s">
        <v>124</v>
      </c>
      <c r="B1105" s="3"/>
      <c r="C1105" s="74">
        <v>0</v>
      </c>
      <c r="D1105" s="74">
        <v>0</v>
      </c>
      <c r="E1105" s="74">
        <v>0</v>
      </c>
      <c r="F1105" s="74">
        <v>0</v>
      </c>
      <c r="G1105" s="74">
        <v>0</v>
      </c>
      <c r="H1105" s="74">
        <v>0</v>
      </c>
      <c r="I1105" s="74">
        <v>0</v>
      </c>
      <c r="J1105" s="74">
        <v>0</v>
      </c>
      <c r="K1105" s="74">
        <v>0</v>
      </c>
      <c r="L1105" s="74">
        <v>0</v>
      </c>
      <c r="M1105" s="74">
        <v>0</v>
      </c>
      <c r="N1105" s="78">
        <f>Sum(C1105:M1105)</f>
        <v>0</v>
      </c>
      <c r="O1105" s="76" t="e">
        <f>(N1105/N1109)</f>
        <v>#DIV/0!</v>
      </c>
      <c r="P1105" s="0" t="s">
        <v>534</v>
      </c>
    </row>
    <row r="1106">
      <c r="A1106" s="3" t="s">
        <v>535</v>
      </c>
      <c r="B1106" s="3"/>
      <c r="C1106" s="74">
        <v>0</v>
      </c>
      <c r="D1106" s="74">
        <v>0</v>
      </c>
      <c r="E1106" s="74">
        <v>0</v>
      </c>
      <c r="F1106" s="74">
        <v>0</v>
      </c>
      <c r="G1106" s="74">
        <v>0</v>
      </c>
      <c r="H1106" s="74">
        <v>0</v>
      </c>
      <c r="I1106" s="74">
        <v>0</v>
      </c>
      <c r="J1106" s="74">
        <v>0</v>
      </c>
      <c r="K1106" s="74">
        <v>0</v>
      </c>
      <c r="L1106" s="74">
        <v>0</v>
      </c>
      <c r="M1106" s="74">
        <v>0</v>
      </c>
      <c r="N1106" s="78">
        <f>Sum(C1106:M1106)</f>
        <v>0</v>
      </c>
      <c r="O1106" s="76" t="e">
        <f>(N1106/N1109)</f>
        <v>#DIV/0!</v>
      </c>
      <c r="P1106" s="0" t="s">
        <v>536</v>
      </c>
    </row>
    <row r="1107">
      <c r="A1107" s="3" t="s">
        <v>537</v>
      </c>
      <c r="B1107" s="3"/>
      <c r="C1107" s="74">
        <v>0</v>
      </c>
      <c r="D1107" s="74">
        <v>0</v>
      </c>
      <c r="E1107" s="74">
        <v>0</v>
      </c>
      <c r="F1107" s="74">
        <v>0</v>
      </c>
      <c r="G1107" s="74">
        <v>0</v>
      </c>
      <c r="H1107" s="74">
        <v>0</v>
      </c>
      <c r="I1107" s="74">
        <v>0</v>
      </c>
      <c r="J1107" s="74">
        <v>0</v>
      </c>
      <c r="K1107" s="74">
        <v>0</v>
      </c>
      <c r="L1107" s="74">
        <v>0</v>
      </c>
      <c r="M1107" s="74">
        <v>0</v>
      </c>
      <c r="N1107" s="78">
        <f>Sum(C1107:M1107)</f>
        <v>0</v>
      </c>
      <c r="O1107" s="76" t="e">
        <f>(N1107/N1109)</f>
        <v>#DIV/0!</v>
      </c>
      <c r="P1107" s="0" t="s">
        <v>538</v>
      </c>
    </row>
    <row r="1108">
      <c r="A1108" s="3" t="s">
        <v>539</v>
      </c>
      <c r="B1108" s="3"/>
      <c r="C1108" s="74">
        <v>0</v>
      </c>
      <c r="D1108" s="74">
        <v>0</v>
      </c>
      <c r="E1108" s="74">
        <v>0</v>
      </c>
      <c r="F1108" s="74">
        <v>0</v>
      </c>
      <c r="G1108" s="74">
        <v>0</v>
      </c>
      <c r="H1108" s="74">
        <v>0</v>
      </c>
      <c r="I1108" s="74">
        <v>0</v>
      </c>
      <c r="J1108" s="74">
        <v>0</v>
      </c>
      <c r="K1108" s="74">
        <v>0</v>
      </c>
      <c r="L1108" s="74">
        <v>0</v>
      </c>
      <c r="M1108" s="74">
        <v>0</v>
      </c>
      <c r="N1108" s="78">
        <f>Sum(C1108:M1108)</f>
        <v>0</v>
      </c>
      <c r="O1108" s="76" t="e">
        <f>(N1108/N1109)</f>
        <v>#DIV/0!</v>
      </c>
      <c r="P1108" s="0" t="s">
        <v>540</v>
      </c>
    </row>
    <row r="1109">
      <c r="A1109" s="3" t="s">
        <v>541</v>
      </c>
      <c r="B1109" s="3"/>
      <c r="C1109" s="74"/>
      <c r="D1109" s="74"/>
      <c r="E1109" s="74"/>
      <c r="F1109" s="74"/>
      <c r="G1109" s="74"/>
      <c r="H1109" s="74"/>
      <c r="I1109" s="74"/>
      <c r="J1109" s="74"/>
      <c r="K1109" s="74"/>
      <c r="L1109" s="74"/>
      <c r="M1109" s="74"/>
      <c r="N1109" s="78">
        <f>Sum(C1109:M1109)</f>
        <v>0</v>
      </c>
    </row>
    <row r="1110">
      <c r="A1110" s="3"/>
      <c r="B1110" s="3"/>
      <c r="C1110" s="74"/>
      <c r="D1110" s="74"/>
      <c r="E1110" s="74"/>
      <c r="F1110" s="74"/>
      <c r="G1110" s="74"/>
      <c r="H1110" s="74"/>
      <c r="I1110" s="74"/>
      <c r="J1110" s="74"/>
      <c r="K1110" s="74"/>
      <c r="L1110" s="74"/>
      <c r="M1110" s="74"/>
      <c r="N1110" s="78"/>
    </row>
    <row r="1111">
      <c r="A1111" s="3" t="s">
        <v>542</v>
      </c>
      <c r="B1111" s="3"/>
      <c r="C1111" s="74">
        <v>0</v>
      </c>
      <c r="D1111" s="74">
        <v>0</v>
      </c>
      <c r="E1111" s="74">
        <v>0</v>
      </c>
      <c r="F1111" s="74">
        <v>0</v>
      </c>
      <c r="G1111" s="74">
        <v>0</v>
      </c>
      <c r="H1111" s="74">
        <v>0</v>
      </c>
      <c r="I1111" s="74">
        <v>0</v>
      </c>
      <c r="J1111" s="74">
        <v>0</v>
      </c>
      <c r="K1111" s="74">
        <v>0</v>
      </c>
      <c r="L1111" s="74">
        <v>0</v>
      </c>
      <c r="M1111" s="74">
        <v>0</v>
      </c>
      <c r="N1111" s="78">
        <f>Sum(C1111:M1111)</f>
        <v>0</v>
      </c>
    </row>
    <row r="1113">
      <c r="A1113" s="22" t="s">
        <v>543</v>
      </c>
      <c r="C1113" s="22" t="s">
        <v>363</v>
      </c>
      <c r="D1113" s="22"/>
      <c r="E1113" s="22"/>
      <c r="F1113" s="22"/>
      <c r="G1113" s="22"/>
      <c r="H1113" s="22"/>
      <c r="I1113" s="22"/>
      <c r="J1113" s="22"/>
      <c r="K1113" s="22"/>
      <c r="L1113" s="22"/>
      <c r="M1113" s="22"/>
    </row>
    <row r="1114">
      <c r="A1114" s="22"/>
      <c r="C1114" s="22">
        <v>2026</v>
      </c>
      <c r="D1114" s="22">
        <v>2027</v>
      </c>
      <c r="E1114" s="22">
        <v>2028</v>
      </c>
      <c r="F1114" s="22">
        <v>2029</v>
      </c>
      <c r="G1114" s="22">
        <v>2030</v>
      </c>
      <c r="H1114" s="22">
        <v>2031</v>
      </c>
      <c r="I1114" s="22">
        <v>2032</v>
      </c>
      <c r="J1114" s="22">
        <v>2033</v>
      </c>
      <c r="K1114" s="22">
        <v>2034</v>
      </c>
      <c r="L1114" s="22">
        <v>2035</v>
      </c>
      <c r="M1114" s="22">
        <v>2036</v>
      </c>
    </row>
    <row r="1115">
      <c r="A1115" s="3"/>
      <c r="B1115" s="3"/>
      <c r="C1115" s="74"/>
      <c r="D1115" s="74"/>
      <c r="E1115" s="74"/>
      <c r="F1115" s="74"/>
      <c r="G1115" s="74"/>
      <c r="H1115" s="74"/>
      <c r="I1115" s="74"/>
      <c r="J1115" s="74"/>
      <c r="K1115" s="74"/>
      <c r="L1115" s="74"/>
      <c r="M1115" s="74"/>
      <c r="N1115" s="78">
        <f>Sum(C1115:M1115)</f>
        <v>0</v>
      </c>
    </row>
    <row r="1118">
      <c r="A1118" s="22" t="s">
        <v>473</v>
      </c>
      <c r="C1118" s="22" t="s">
        <v>544</v>
      </c>
      <c r="D1118" s="22"/>
      <c r="E1118" s="22"/>
      <c r="F1118" s="22"/>
      <c r="G1118" s="22"/>
      <c r="H1118" s="22"/>
      <c r="I1118" s="22"/>
      <c r="J1118" s="22"/>
      <c r="K1118" s="22"/>
      <c r="L1118" s="22"/>
      <c r="M1118" s="22"/>
    </row>
    <row r="1119">
      <c r="A1119" s="22"/>
      <c r="C1119" s="22">
        <v>2026</v>
      </c>
      <c r="D1119" s="22">
        <v>2027</v>
      </c>
      <c r="E1119" s="22">
        <v>2028</v>
      </c>
      <c r="F1119" s="22">
        <v>2029</v>
      </c>
      <c r="G1119" s="22">
        <v>2030</v>
      </c>
      <c r="H1119" s="22">
        <v>2031</v>
      </c>
      <c r="I1119" s="22">
        <v>2032</v>
      </c>
      <c r="J1119" s="22">
        <v>2033</v>
      </c>
      <c r="K1119" s="22">
        <v>2034</v>
      </c>
      <c r="L1119" s="22">
        <v>2035</v>
      </c>
      <c r="M1119" s="22">
        <v>2036</v>
      </c>
    </row>
    <row r="1120">
      <c r="A1120" s="3" t="s">
        <v>545</v>
      </c>
      <c r="B1120" s="3"/>
      <c r="C1120" s="90">
        <v>0</v>
      </c>
      <c r="D1120" s="90">
        <v>0</v>
      </c>
      <c r="E1120" s="90">
        <v>0</v>
      </c>
      <c r="F1120" s="90">
        <v>0</v>
      </c>
      <c r="G1120" s="90">
        <v>0</v>
      </c>
      <c r="H1120" s="90">
        <v>0</v>
      </c>
      <c r="I1120" s="90">
        <v>0</v>
      </c>
      <c r="J1120" s="90">
        <v>0</v>
      </c>
      <c r="K1120" s="90">
        <v>0</v>
      </c>
      <c r="L1120" s="90">
        <v>0</v>
      </c>
      <c r="M1120" s="90">
        <v>0</v>
      </c>
    </row>
    <row r="1121">
      <c r="A1121" s="3" t="s">
        <v>546</v>
      </c>
      <c r="B1121" s="3"/>
      <c r="C1121" s="90">
        <v>0</v>
      </c>
      <c r="D1121" s="90">
        <v>0</v>
      </c>
      <c r="E1121" s="90">
        <v>0</v>
      </c>
      <c r="F1121" s="90">
        <v>0</v>
      </c>
      <c r="G1121" s="90">
        <v>0</v>
      </c>
      <c r="H1121" s="90">
        <v>0</v>
      </c>
      <c r="I1121" s="90">
        <v>0</v>
      </c>
      <c r="J1121" s="90">
        <v>0</v>
      </c>
      <c r="K1121" s="90">
        <v>0</v>
      </c>
      <c r="L1121" s="90">
        <v>0</v>
      </c>
      <c r="M1121" s="90">
        <v>0</v>
      </c>
    </row>
    <row r="1122">
      <c r="A1122" s="3" t="s">
        <v>547</v>
      </c>
      <c r="B1122" s="3"/>
      <c r="C1122" s="90">
        <v>0</v>
      </c>
      <c r="D1122" s="90">
        <v>0</v>
      </c>
      <c r="E1122" s="90">
        <v>0</v>
      </c>
      <c r="F1122" s="90">
        <v>0</v>
      </c>
      <c r="G1122" s="90">
        <v>0</v>
      </c>
      <c r="H1122" s="90">
        <v>0</v>
      </c>
      <c r="I1122" s="90">
        <v>0</v>
      </c>
      <c r="J1122" s="90">
        <v>0</v>
      </c>
      <c r="K1122" s="90">
        <v>0</v>
      </c>
      <c r="L1122" s="90">
        <v>0</v>
      </c>
      <c r="M1122" s="90">
        <v>0</v>
      </c>
    </row>
    <row r="1123">
      <c r="A1123" s="3" t="s">
        <v>548</v>
      </c>
      <c r="B1123" s="3"/>
      <c r="C1123" s="90">
        <v>0</v>
      </c>
      <c r="D1123" s="90">
        <v>0</v>
      </c>
      <c r="E1123" s="90">
        <v>0</v>
      </c>
      <c r="F1123" s="90">
        <v>0</v>
      </c>
      <c r="G1123" s="90">
        <v>0</v>
      </c>
      <c r="H1123" s="90">
        <v>0</v>
      </c>
      <c r="I1123" s="90">
        <v>0</v>
      </c>
      <c r="J1123" s="90">
        <v>0</v>
      </c>
      <c r="K1123" s="90">
        <v>0</v>
      </c>
      <c r="L1123" s="90">
        <v>0</v>
      </c>
      <c r="M1123" s="90">
        <v>0</v>
      </c>
    </row>
    <row r="1124">
      <c r="A1124" s="3" t="s">
        <v>549</v>
      </c>
      <c r="B1124" s="3"/>
      <c r="C1124" s="90">
        <v>0</v>
      </c>
      <c r="D1124" s="90">
        <v>0</v>
      </c>
      <c r="E1124" s="90">
        <v>0</v>
      </c>
      <c r="F1124" s="90">
        <v>0</v>
      </c>
      <c r="G1124" s="90">
        <v>0</v>
      </c>
      <c r="H1124" s="90">
        <v>0</v>
      </c>
      <c r="I1124" s="90">
        <v>0</v>
      </c>
      <c r="J1124" s="90">
        <v>0</v>
      </c>
      <c r="K1124" s="90">
        <v>0</v>
      </c>
      <c r="L1124" s="90">
        <v>0</v>
      </c>
      <c r="M1124" s="90">
        <v>0</v>
      </c>
    </row>
    <row r="1125">
      <c r="A1125" s="3" t="s">
        <v>550</v>
      </c>
      <c r="B1125" s="3"/>
      <c r="C1125" s="90">
        <v>0</v>
      </c>
      <c r="D1125" s="90">
        <v>0</v>
      </c>
      <c r="E1125" s="90">
        <v>0</v>
      </c>
      <c r="F1125" s="90">
        <v>0</v>
      </c>
      <c r="G1125" s="90">
        <v>0</v>
      </c>
      <c r="H1125" s="90">
        <v>0</v>
      </c>
      <c r="I1125" s="90">
        <v>0</v>
      </c>
      <c r="J1125" s="90">
        <v>0</v>
      </c>
      <c r="K1125" s="90">
        <v>0</v>
      </c>
      <c r="L1125" s="90">
        <v>0</v>
      </c>
      <c r="M1125" s="90">
        <v>0</v>
      </c>
    </row>
    <row r="1126">
      <c r="A1126" s="3" t="s">
        <v>551</v>
      </c>
      <c r="B1126" s="3"/>
      <c r="C1126" s="90">
        <v>0</v>
      </c>
      <c r="D1126" s="90">
        <v>0</v>
      </c>
      <c r="E1126" s="90"/>
      <c r="F1126" s="90">
        <v>0</v>
      </c>
      <c r="G1126" s="90"/>
      <c r="H1126" s="90">
        <v>0</v>
      </c>
      <c r="I1126" s="90"/>
      <c r="J1126" s="90"/>
      <c r="K1126" s="90"/>
      <c r="L1126" s="90"/>
      <c r="M1126" s="90">
        <v>0</v>
      </c>
    </row>
    <row r="1128">
      <c r="A1128" s="25" t="s">
        <v>157</v>
      </c>
      <c r="B1128" s="25"/>
      <c r="C1128" s="25"/>
      <c r="D1128" s="25"/>
      <c r="E1128" s="25"/>
      <c r="F1128" s="25"/>
      <c r="G1128" s="25"/>
      <c r="H1128" s="25"/>
      <c r="I1128" s="25"/>
      <c r="J1128" s="25"/>
      <c r="K1128" s="25"/>
      <c r="L1128" s="24"/>
      <c r="M1128" s="24"/>
    </row>
    <row r="1131">
      <c r="A1131" s="22" t="s">
        <v>363</v>
      </c>
      <c r="C1131" s="22" t="s">
        <v>502</v>
      </c>
      <c r="D1131" s="22"/>
      <c r="E1131" s="22"/>
      <c r="F1131" s="22"/>
      <c r="G1131" s="22"/>
      <c r="H1131" s="22"/>
      <c r="I1131" s="22"/>
      <c r="J1131" s="22"/>
      <c r="K1131" s="22"/>
      <c r="L1131" s="22"/>
      <c r="M1131" s="22"/>
    </row>
    <row r="1132">
      <c r="A1132" s="22"/>
      <c r="C1132" s="22">
        <v>2026</v>
      </c>
      <c r="D1132" s="22">
        <v>2027</v>
      </c>
      <c r="E1132" s="22">
        <v>2028</v>
      </c>
      <c r="F1132" s="22">
        <v>2029</v>
      </c>
      <c r="G1132" s="22">
        <v>2030</v>
      </c>
      <c r="H1132" s="22">
        <v>2031</v>
      </c>
      <c r="I1132" s="22">
        <v>2032</v>
      </c>
      <c r="J1132" s="22">
        <v>2033</v>
      </c>
      <c r="K1132" s="22">
        <v>2034</v>
      </c>
      <c r="L1132" s="22">
        <v>2035</v>
      </c>
      <c r="M1132" s="22">
        <v>2036</v>
      </c>
    </row>
    <row r="1133">
      <c r="A1133" s="3" t="s">
        <v>504</v>
      </c>
      <c r="B1133" s="3"/>
      <c r="C1133" s="82">
        <v>0</v>
      </c>
      <c r="D1133" s="82">
        <v>0</v>
      </c>
      <c r="E1133" s="82">
        <v>0</v>
      </c>
      <c r="F1133" s="82">
        <v>0</v>
      </c>
      <c r="G1133" s="82">
        <v>0</v>
      </c>
      <c r="H1133" s="82">
        <v>0</v>
      </c>
      <c r="I1133" s="82">
        <v>0</v>
      </c>
      <c r="J1133" s="82">
        <v>0</v>
      </c>
      <c r="K1133" s="82">
        <v>0</v>
      </c>
      <c r="L1133" s="82">
        <v>0</v>
      </c>
      <c r="M1133" s="82">
        <v>0</v>
      </c>
    </row>
    <row r="1134">
      <c r="A1134" s="3" t="s">
        <v>506</v>
      </c>
      <c r="B1134" s="3"/>
      <c r="C1134" s="83">
        <v>0</v>
      </c>
      <c r="D1134" s="83">
        <v>0</v>
      </c>
      <c r="E1134" s="83">
        <v>0</v>
      </c>
      <c r="F1134" s="83">
        <v>0</v>
      </c>
      <c r="G1134" s="83">
        <v>0</v>
      </c>
      <c r="H1134" s="83">
        <v>0</v>
      </c>
      <c r="I1134" s="83">
        <v>0</v>
      </c>
      <c r="J1134" s="83">
        <v>0</v>
      </c>
      <c r="K1134" s="83">
        <v>0</v>
      </c>
      <c r="L1134" s="83">
        <v>0</v>
      </c>
      <c r="M1134" s="83">
        <v>0</v>
      </c>
    </row>
    <row r="1135">
      <c r="A1135" s="3" t="s">
        <v>507</v>
      </c>
      <c r="B1135" s="3"/>
      <c r="C1135" s="83">
        <v>0</v>
      </c>
      <c r="D1135" s="83">
        <v>0</v>
      </c>
      <c r="E1135" s="83">
        <v>0</v>
      </c>
      <c r="F1135" s="83">
        <v>0</v>
      </c>
      <c r="G1135" s="83">
        <v>0</v>
      </c>
      <c r="H1135" s="83">
        <v>0</v>
      </c>
      <c r="I1135" s="83">
        <v>0</v>
      </c>
      <c r="J1135" s="83">
        <v>0</v>
      </c>
      <c r="K1135" s="83">
        <v>0</v>
      </c>
      <c r="L1135" s="83">
        <v>0</v>
      </c>
      <c r="M1135" s="83">
        <v>0</v>
      </c>
    </row>
    <row r="1136">
      <c r="A1136" s="3" t="s">
        <v>508</v>
      </c>
      <c r="B1136" s="3"/>
      <c r="C1136" s="83">
        <v>0</v>
      </c>
      <c r="D1136" s="83">
        <v>0</v>
      </c>
      <c r="E1136" s="83">
        <v>0</v>
      </c>
      <c r="F1136" s="83">
        <v>0</v>
      </c>
      <c r="G1136" s="83">
        <v>0</v>
      </c>
      <c r="H1136" s="83">
        <v>0</v>
      </c>
      <c r="I1136" s="83">
        <v>0</v>
      </c>
      <c r="J1136" s="83">
        <v>0</v>
      </c>
      <c r="K1136" s="83">
        <v>0</v>
      </c>
      <c r="L1136" s="83">
        <v>0</v>
      </c>
      <c r="M1136" s="83">
        <v>0</v>
      </c>
    </row>
    <row r="1137">
      <c r="A1137" s="3" t="s">
        <v>509</v>
      </c>
      <c r="B1137" s="3"/>
      <c r="C1137" s="83">
        <v>0</v>
      </c>
      <c r="D1137" s="83">
        <v>0</v>
      </c>
      <c r="E1137" s="83">
        <v>0</v>
      </c>
      <c r="F1137" s="83">
        <v>0</v>
      </c>
      <c r="G1137" s="83">
        <v>0</v>
      </c>
      <c r="H1137" s="83">
        <v>0</v>
      </c>
      <c r="I1137" s="83">
        <v>0</v>
      </c>
      <c r="J1137" s="83">
        <v>0</v>
      </c>
      <c r="K1137" s="83">
        <v>0</v>
      </c>
      <c r="L1137" s="83">
        <v>0</v>
      </c>
      <c r="M1137" s="83">
        <v>0</v>
      </c>
    </row>
    <row r="1138">
      <c r="A1138" s="3" t="s">
        <v>510</v>
      </c>
      <c r="B1138" s="3"/>
      <c r="C1138" s="83">
        <v>0</v>
      </c>
      <c r="D1138" s="83">
        <v>0</v>
      </c>
      <c r="E1138" s="83">
        <v>0</v>
      </c>
      <c r="F1138" s="83">
        <v>0</v>
      </c>
      <c r="G1138" s="83">
        <v>0</v>
      </c>
      <c r="H1138" s="83">
        <v>0</v>
      </c>
      <c r="I1138" s="83">
        <v>0</v>
      </c>
      <c r="J1138" s="83">
        <v>0</v>
      </c>
      <c r="K1138" s="83">
        <v>0</v>
      </c>
      <c r="L1138" s="83">
        <v>0</v>
      </c>
      <c r="M1138" s="83">
        <v>0</v>
      </c>
    </row>
    <row r="1142">
      <c r="A1142" s="22" t="s">
        <v>529</v>
      </c>
      <c r="C1142" s="22" t="s">
        <v>363</v>
      </c>
      <c r="D1142" s="22"/>
      <c r="E1142" s="22"/>
      <c r="F1142" s="22"/>
      <c r="G1142" s="22"/>
      <c r="H1142" s="22"/>
      <c r="I1142" s="22"/>
      <c r="J1142" s="22"/>
      <c r="K1142" s="22"/>
      <c r="L1142" s="22"/>
      <c r="M1142" s="22"/>
    </row>
    <row r="1143">
      <c r="A1143" s="22"/>
      <c r="B1143" s="3"/>
      <c r="C1143" s="22">
        <v>2026</v>
      </c>
      <c r="D1143" s="22">
        <v>2027</v>
      </c>
      <c r="E1143" s="22">
        <v>2028</v>
      </c>
      <c r="F1143" s="22">
        <v>2029</v>
      </c>
      <c r="G1143" s="22">
        <v>2030</v>
      </c>
      <c r="H1143" s="22">
        <v>2031</v>
      </c>
      <c r="I1143" s="22">
        <v>2032</v>
      </c>
      <c r="J1143" s="22">
        <v>2033</v>
      </c>
      <c r="K1143" s="22">
        <v>2034</v>
      </c>
      <c r="L1143" s="22">
        <v>2035</v>
      </c>
      <c r="M1143" s="22">
        <v>2036</v>
      </c>
      <c r="N1143" s="22" t="s">
        <v>530</v>
      </c>
    </row>
    <row r="1144">
      <c r="A1144" s="3" t="s">
        <v>117</v>
      </c>
      <c r="B1144" s="3"/>
      <c r="C1144" s="74">
        <v>0</v>
      </c>
      <c r="D1144" s="74">
        <v>0</v>
      </c>
      <c r="E1144" s="74">
        <v>0</v>
      </c>
      <c r="F1144" s="74">
        <v>0</v>
      </c>
      <c r="G1144" s="74">
        <v>0</v>
      </c>
      <c r="H1144" s="74">
        <v>0</v>
      </c>
      <c r="I1144" s="74">
        <v>0</v>
      </c>
      <c r="J1144" s="74">
        <v>0</v>
      </c>
      <c r="K1144" s="74">
        <v>0</v>
      </c>
      <c r="L1144" s="74">
        <v>0</v>
      </c>
      <c r="M1144" s="74">
        <v>0</v>
      </c>
      <c r="N1144" s="78">
        <f>Sum(C1144:M1144)</f>
        <v>0</v>
      </c>
      <c r="O1144" s="76" t="e">
        <f>(N1144/N1151)</f>
        <v>#DIV/0!</v>
      </c>
      <c r="P1144" s="0" t="s">
        <v>531</v>
      </c>
    </row>
    <row r="1145">
      <c r="A1145" s="3" t="s">
        <v>121</v>
      </c>
      <c r="B1145" s="3"/>
      <c r="C1145" s="74">
        <v>0</v>
      </c>
      <c r="D1145" s="74">
        <v>0</v>
      </c>
      <c r="E1145" s="74">
        <v>0</v>
      </c>
      <c r="F1145" s="74">
        <v>0</v>
      </c>
      <c r="G1145" s="74">
        <v>0</v>
      </c>
      <c r="H1145" s="74">
        <v>0</v>
      </c>
      <c r="I1145" s="74">
        <v>0</v>
      </c>
      <c r="J1145" s="74">
        <v>0</v>
      </c>
      <c r="K1145" s="74">
        <v>0</v>
      </c>
      <c r="L1145" s="74">
        <v>0</v>
      </c>
      <c r="M1145" s="74">
        <v>0</v>
      </c>
      <c r="N1145" s="78">
        <f>Sum(C1145:M1145)</f>
        <v>0</v>
      </c>
      <c r="O1145" s="76" t="e">
        <f>(N1145/N1151)</f>
        <v>#DIV/0!</v>
      </c>
      <c r="P1145" s="0" t="s">
        <v>532</v>
      </c>
    </row>
    <row r="1146">
      <c r="A1146" s="3" t="s">
        <v>122</v>
      </c>
      <c r="B1146" s="3"/>
      <c r="C1146" s="74">
        <v>0</v>
      </c>
      <c r="D1146" s="74">
        <v>0</v>
      </c>
      <c r="E1146" s="74">
        <v>0</v>
      </c>
      <c r="F1146" s="74">
        <v>0</v>
      </c>
      <c r="G1146" s="74">
        <v>0</v>
      </c>
      <c r="H1146" s="74">
        <v>0</v>
      </c>
      <c r="I1146" s="74">
        <v>0</v>
      </c>
      <c r="J1146" s="74">
        <v>0</v>
      </c>
      <c r="K1146" s="74">
        <v>0</v>
      </c>
      <c r="L1146" s="74">
        <v>0</v>
      </c>
      <c r="M1146" s="74">
        <v>0</v>
      </c>
      <c r="N1146" s="78">
        <f>Sum(C1146:M1146)</f>
        <v>0</v>
      </c>
      <c r="O1146" s="76" t="e">
        <f>(N1146/N1151)</f>
        <v>#DIV/0!</v>
      </c>
      <c r="P1146" s="0" t="s">
        <v>533</v>
      </c>
    </row>
    <row r="1147">
      <c r="A1147" s="3" t="s">
        <v>124</v>
      </c>
      <c r="B1147" s="3"/>
      <c r="C1147" s="74">
        <v>0</v>
      </c>
      <c r="D1147" s="74">
        <v>0</v>
      </c>
      <c r="E1147" s="74">
        <v>0</v>
      </c>
      <c r="F1147" s="74">
        <v>0</v>
      </c>
      <c r="G1147" s="74">
        <v>0</v>
      </c>
      <c r="H1147" s="74">
        <v>0</v>
      </c>
      <c r="I1147" s="74">
        <v>0</v>
      </c>
      <c r="J1147" s="74">
        <v>0</v>
      </c>
      <c r="K1147" s="74">
        <v>0</v>
      </c>
      <c r="L1147" s="74">
        <v>0</v>
      </c>
      <c r="M1147" s="74">
        <v>0</v>
      </c>
      <c r="N1147" s="78">
        <f>Sum(C1147:M1147)</f>
        <v>0</v>
      </c>
      <c r="O1147" s="76" t="e">
        <f>(N1147/N1151)</f>
        <v>#DIV/0!</v>
      </c>
      <c r="P1147" s="0" t="s">
        <v>534</v>
      </c>
    </row>
    <row r="1148">
      <c r="A1148" s="3" t="s">
        <v>535</v>
      </c>
      <c r="B1148" s="3"/>
      <c r="C1148" s="74">
        <v>0</v>
      </c>
      <c r="D1148" s="74">
        <v>0</v>
      </c>
      <c r="E1148" s="74">
        <v>0</v>
      </c>
      <c r="F1148" s="74">
        <v>0</v>
      </c>
      <c r="G1148" s="74">
        <v>0</v>
      </c>
      <c r="H1148" s="74">
        <v>0</v>
      </c>
      <c r="I1148" s="74">
        <v>0</v>
      </c>
      <c r="J1148" s="74">
        <v>0</v>
      </c>
      <c r="K1148" s="74">
        <v>0</v>
      </c>
      <c r="L1148" s="74">
        <v>0</v>
      </c>
      <c r="M1148" s="74">
        <v>0</v>
      </c>
      <c r="N1148" s="78">
        <f>Sum(C1148:M1148)</f>
        <v>0</v>
      </c>
      <c r="O1148" s="76" t="e">
        <f>(N1148/N1151)</f>
        <v>#DIV/0!</v>
      </c>
      <c r="P1148" s="0" t="s">
        <v>536</v>
      </c>
    </row>
    <row r="1149">
      <c r="A1149" s="3" t="s">
        <v>537</v>
      </c>
      <c r="B1149" s="3"/>
      <c r="C1149" s="74">
        <v>0</v>
      </c>
      <c r="D1149" s="74">
        <v>0</v>
      </c>
      <c r="E1149" s="74">
        <v>0</v>
      </c>
      <c r="F1149" s="74">
        <v>0</v>
      </c>
      <c r="G1149" s="74">
        <v>0</v>
      </c>
      <c r="H1149" s="74">
        <v>0</v>
      </c>
      <c r="I1149" s="74">
        <v>0</v>
      </c>
      <c r="J1149" s="74">
        <v>0</v>
      </c>
      <c r="K1149" s="74">
        <v>0</v>
      </c>
      <c r="L1149" s="74">
        <v>0</v>
      </c>
      <c r="M1149" s="74">
        <v>0</v>
      </c>
      <c r="N1149" s="78">
        <f>Sum(C1149:M1149)</f>
        <v>0</v>
      </c>
      <c r="O1149" s="76" t="e">
        <f>(N1149/N1151)</f>
        <v>#DIV/0!</v>
      </c>
      <c r="P1149" s="0" t="s">
        <v>538</v>
      </c>
    </row>
    <row r="1150">
      <c r="A1150" s="3" t="s">
        <v>539</v>
      </c>
      <c r="B1150" s="3"/>
      <c r="C1150" s="74">
        <v>0</v>
      </c>
      <c r="D1150" s="74">
        <v>0</v>
      </c>
      <c r="E1150" s="74">
        <v>0</v>
      </c>
      <c r="F1150" s="74">
        <v>0</v>
      </c>
      <c r="G1150" s="74">
        <v>0</v>
      </c>
      <c r="H1150" s="74">
        <v>0</v>
      </c>
      <c r="I1150" s="74">
        <v>0</v>
      </c>
      <c r="J1150" s="74">
        <v>0</v>
      </c>
      <c r="K1150" s="74">
        <v>0</v>
      </c>
      <c r="L1150" s="74">
        <v>0</v>
      </c>
      <c r="M1150" s="74">
        <v>0</v>
      </c>
      <c r="N1150" s="78">
        <f>Sum(C1150:M1150)</f>
        <v>0</v>
      </c>
      <c r="O1150" s="76" t="e">
        <f>(N1150/N1151)</f>
        <v>#DIV/0!</v>
      </c>
      <c r="P1150" s="0" t="s">
        <v>540</v>
      </c>
    </row>
    <row r="1151">
      <c r="A1151" s="3" t="s">
        <v>541</v>
      </c>
      <c r="B1151" s="3"/>
      <c r="C1151" s="74"/>
      <c r="D1151" s="74"/>
      <c r="E1151" s="74"/>
      <c r="F1151" s="74"/>
      <c r="G1151" s="74"/>
      <c r="H1151" s="74"/>
      <c r="I1151" s="74"/>
      <c r="J1151" s="74"/>
      <c r="K1151" s="74"/>
      <c r="L1151" s="74"/>
      <c r="M1151" s="74"/>
      <c r="N1151" s="78">
        <f>Sum(C1151:M1151)</f>
        <v>0</v>
      </c>
    </row>
    <row r="1152">
      <c r="A1152" s="3"/>
      <c r="B1152" s="3"/>
      <c r="C1152" s="74"/>
      <c r="D1152" s="74"/>
      <c r="E1152" s="74"/>
      <c r="F1152" s="74"/>
      <c r="G1152" s="74"/>
      <c r="H1152" s="74"/>
      <c r="I1152" s="74"/>
      <c r="J1152" s="74"/>
      <c r="K1152" s="74"/>
      <c r="L1152" s="74"/>
      <c r="M1152" s="74"/>
      <c r="N1152" s="78"/>
    </row>
    <row r="1153">
      <c r="A1153" s="3" t="s">
        <v>542</v>
      </c>
      <c r="B1153" s="3"/>
      <c r="C1153" s="74">
        <v>0</v>
      </c>
      <c r="D1153" s="74">
        <v>0</v>
      </c>
      <c r="E1153" s="74">
        <v>0</v>
      </c>
      <c r="F1153" s="74">
        <v>0</v>
      </c>
      <c r="G1153" s="74">
        <v>0</v>
      </c>
      <c r="H1153" s="74">
        <v>0</v>
      </c>
      <c r="I1153" s="74">
        <v>0</v>
      </c>
      <c r="J1153" s="74">
        <v>0</v>
      </c>
      <c r="K1153" s="74">
        <v>0</v>
      </c>
      <c r="L1153" s="74">
        <v>0</v>
      </c>
      <c r="M1153" s="74">
        <v>0</v>
      </c>
      <c r="N1153" s="78">
        <f>Sum(C1153:M1153)</f>
        <v>0</v>
      </c>
    </row>
    <row r="1155">
      <c r="A1155" s="22" t="s">
        <v>543</v>
      </c>
      <c r="C1155" s="22" t="s">
        <v>363</v>
      </c>
      <c r="D1155" s="22"/>
      <c r="E1155" s="22"/>
      <c r="F1155" s="22"/>
      <c r="G1155" s="22"/>
      <c r="H1155" s="22"/>
      <c r="I1155" s="22"/>
      <c r="J1155" s="22"/>
      <c r="K1155" s="22"/>
      <c r="L1155" s="22"/>
      <c r="M1155" s="22"/>
    </row>
    <row r="1156">
      <c r="A1156" s="22"/>
      <c r="C1156" s="22">
        <v>2026</v>
      </c>
      <c r="D1156" s="22">
        <v>2027</v>
      </c>
      <c r="E1156" s="22">
        <v>2028</v>
      </c>
      <c r="F1156" s="22">
        <v>2029</v>
      </c>
      <c r="G1156" s="22">
        <v>2030</v>
      </c>
      <c r="H1156" s="22">
        <v>2031</v>
      </c>
      <c r="I1156" s="22">
        <v>2032</v>
      </c>
      <c r="J1156" s="22">
        <v>2033</v>
      </c>
      <c r="K1156" s="22">
        <v>2034</v>
      </c>
      <c r="L1156" s="22">
        <v>2035</v>
      </c>
      <c r="M1156" s="22">
        <v>2036</v>
      </c>
    </row>
    <row r="1157">
      <c r="A1157" s="3"/>
      <c r="B1157" s="3"/>
      <c r="C1157" s="74"/>
      <c r="D1157" s="74"/>
      <c r="E1157" s="74"/>
      <c r="F1157" s="74"/>
      <c r="G1157" s="74"/>
      <c r="H1157" s="74"/>
      <c r="I1157" s="74"/>
      <c r="J1157" s="74"/>
      <c r="K1157" s="74"/>
      <c r="L1157" s="74"/>
      <c r="M1157" s="74"/>
      <c r="N1157" s="78">
        <f>Sum(C1157:M1157)</f>
        <v>0</v>
      </c>
    </row>
    <row r="1160">
      <c r="A1160" s="22" t="s">
        <v>473</v>
      </c>
      <c r="C1160" s="22" t="s">
        <v>544</v>
      </c>
      <c r="D1160" s="22"/>
      <c r="E1160" s="22"/>
      <c r="F1160" s="22"/>
      <c r="G1160" s="22"/>
      <c r="H1160" s="22"/>
      <c r="I1160" s="22"/>
      <c r="J1160" s="22"/>
      <c r="K1160" s="22"/>
      <c r="L1160" s="22"/>
      <c r="M1160" s="22"/>
    </row>
    <row r="1161">
      <c r="A1161" s="22"/>
      <c r="C1161" s="22">
        <v>2026</v>
      </c>
      <c r="D1161" s="22">
        <v>2027</v>
      </c>
      <c r="E1161" s="22">
        <v>2028</v>
      </c>
      <c r="F1161" s="22">
        <v>2029</v>
      </c>
      <c r="G1161" s="22">
        <v>2030</v>
      </c>
      <c r="H1161" s="22">
        <v>2031</v>
      </c>
      <c r="I1161" s="22">
        <v>2032</v>
      </c>
      <c r="J1161" s="22">
        <v>2033</v>
      </c>
      <c r="K1161" s="22">
        <v>2034</v>
      </c>
      <c r="L1161" s="22">
        <v>2035</v>
      </c>
      <c r="M1161" s="22">
        <v>2036</v>
      </c>
    </row>
    <row r="1162">
      <c r="A1162" s="3" t="s">
        <v>545</v>
      </c>
      <c r="B1162" s="3"/>
      <c r="C1162" s="90">
        <v>0</v>
      </c>
      <c r="D1162" s="90">
        <v>0</v>
      </c>
      <c r="E1162" s="90">
        <v>0</v>
      </c>
      <c r="F1162" s="90">
        <v>0</v>
      </c>
      <c r="G1162" s="90">
        <v>0</v>
      </c>
      <c r="H1162" s="90">
        <v>0</v>
      </c>
      <c r="I1162" s="90">
        <v>0</v>
      </c>
      <c r="J1162" s="90">
        <v>0</v>
      </c>
      <c r="K1162" s="90">
        <v>0</v>
      </c>
      <c r="L1162" s="90">
        <v>0</v>
      </c>
      <c r="M1162" s="90">
        <v>0</v>
      </c>
    </row>
    <row r="1163">
      <c r="A1163" s="3" t="s">
        <v>546</v>
      </c>
      <c r="B1163" s="3"/>
      <c r="C1163" s="90">
        <v>0</v>
      </c>
      <c r="D1163" s="90">
        <v>0</v>
      </c>
      <c r="E1163" s="90">
        <v>0</v>
      </c>
      <c r="F1163" s="90">
        <v>0</v>
      </c>
      <c r="G1163" s="90">
        <v>0</v>
      </c>
      <c r="H1163" s="90">
        <v>0</v>
      </c>
      <c r="I1163" s="90">
        <v>0</v>
      </c>
      <c r="J1163" s="90">
        <v>0</v>
      </c>
      <c r="K1163" s="90">
        <v>0</v>
      </c>
      <c r="L1163" s="90">
        <v>0</v>
      </c>
      <c r="M1163" s="90">
        <v>0</v>
      </c>
    </row>
    <row r="1164">
      <c r="A1164" s="3" t="s">
        <v>547</v>
      </c>
      <c r="B1164" s="3"/>
      <c r="C1164" s="90">
        <v>0</v>
      </c>
      <c r="D1164" s="90">
        <v>0</v>
      </c>
      <c r="E1164" s="90">
        <v>0</v>
      </c>
      <c r="F1164" s="90">
        <v>0</v>
      </c>
      <c r="G1164" s="90">
        <v>0</v>
      </c>
      <c r="H1164" s="90">
        <v>0</v>
      </c>
      <c r="I1164" s="90">
        <v>0</v>
      </c>
      <c r="J1164" s="90">
        <v>0</v>
      </c>
      <c r="K1164" s="90">
        <v>0</v>
      </c>
      <c r="L1164" s="90">
        <v>0</v>
      </c>
      <c r="M1164" s="90">
        <v>0</v>
      </c>
    </row>
    <row r="1165">
      <c r="A1165" s="3" t="s">
        <v>548</v>
      </c>
      <c r="B1165" s="3"/>
      <c r="C1165" s="90">
        <v>0</v>
      </c>
      <c r="D1165" s="90">
        <v>0</v>
      </c>
      <c r="E1165" s="90">
        <v>0</v>
      </c>
      <c r="F1165" s="90">
        <v>0</v>
      </c>
      <c r="G1165" s="90">
        <v>0</v>
      </c>
      <c r="H1165" s="90">
        <v>0</v>
      </c>
      <c r="I1165" s="90">
        <v>0</v>
      </c>
      <c r="J1165" s="90">
        <v>0</v>
      </c>
      <c r="K1165" s="90">
        <v>0</v>
      </c>
      <c r="L1165" s="90">
        <v>0</v>
      </c>
      <c r="M1165" s="90">
        <v>0</v>
      </c>
    </row>
    <row r="1166">
      <c r="A1166" s="3" t="s">
        <v>549</v>
      </c>
      <c r="B1166" s="3"/>
      <c r="C1166" s="90">
        <v>0</v>
      </c>
      <c r="D1166" s="90">
        <v>0</v>
      </c>
      <c r="E1166" s="90">
        <v>0</v>
      </c>
      <c r="F1166" s="90">
        <v>0</v>
      </c>
      <c r="G1166" s="90">
        <v>0</v>
      </c>
      <c r="H1166" s="90">
        <v>0</v>
      </c>
      <c r="I1166" s="90">
        <v>0</v>
      </c>
      <c r="J1166" s="90">
        <v>0</v>
      </c>
      <c r="K1166" s="90">
        <v>0</v>
      </c>
      <c r="L1166" s="90">
        <v>0</v>
      </c>
      <c r="M1166" s="90">
        <v>0</v>
      </c>
    </row>
    <row r="1167">
      <c r="A1167" s="3" t="s">
        <v>550</v>
      </c>
      <c r="B1167" s="3"/>
      <c r="C1167" s="90">
        <v>0</v>
      </c>
      <c r="D1167" s="90">
        <v>0</v>
      </c>
      <c r="E1167" s="90">
        <v>0</v>
      </c>
      <c r="F1167" s="90">
        <v>0</v>
      </c>
      <c r="G1167" s="90">
        <v>0</v>
      </c>
      <c r="H1167" s="90">
        <v>0</v>
      </c>
      <c r="I1167" s="90">
        <v>0</v>
      </c>
      <c r="J1167" s="90">
        <v>0</v>
      </c>
      <c r="K1167" s="90">
        <v>0</v>
      </c>
      <c r="L1167" s="90">
        <v>0</v>
      </c>
      <c r="M1167" s="90">
        <v>0</v>
      </c>
    </row>
    <row r="1168">
      <c r="A1168" s="3" t="s">
        <v>551</v>
      </c>
      <c r="B1168" s="3"/>
      <c r="C1168" s="90">
        <v>0</v>
      </c>
      <c r="D1168" s="90">
        <v>0</v>
      </c>
      <c r="E1168" s="90"/>
      <c r="F1168" s="90">
        <v>0</v>
      </c>
      <c r="G1168" s="90"/>
      <c r="H1168" s="90">
        <v>0</v>
      </c>
      <c r="I1168" s="90"/>
      <c r="J1168" s="90"/>
      <c r="K1168" s="90"/>
      <c r="L1168" s="90"/>
      <c r="M1168" s="90">
        <v>0</v>
      </c>
    </row>
    <row r="1170">
      <c r="A1170" s="25" t="s">
        <v>158</v>
      </c>
      <c r="B1170" s="25"/>
      <c r="C1170" s="25"/>
      <c r="D1170" s="25"/>
      <c r="E1170" s="25"/>
      <c r="F1170" s="25"/>
      <c r="G1170" s="25"/>
      <c r="H1170" s="25"/>
      <c r="I1170" s="25"/>
      <c r="J1170" s="25"/>
      <c r="K1170" s="25"/>
      <c r="L1170" s="24"/>
      <c r="M1170" s="24"/>
    </row>
    <row r="1173">
      <c r="A1173" s="22" t="s">
        <v>363</v>
      </c>
      <c r="C1173" s="22" t="s">
        <v>502</v>
      </c>
      <c r="D1173" s="22"/>
      <c r="E1173" s="22"/>
      <c r="F1173" s="22"/>
      <c r="G1173" s="22"/>
      <c r="H1173" s="22"/>
      <c r="I1173" s="22"/>
      <c r="J1173" s="22"/>
      <c r="K1173" s="22"/>
      <c r="L1173" s="22"/>
      <c r="M1173" s="22"/>
    </row>
    <row r="1174">
      <c r="A1174" s="22"/>
      <c r="C1174" s="22">
        <v>2026</v>
      </c>
      <c r="D1174" s="22">
        <v>2027</v>
      </c>
      <c r="E1174" s="22">
        <v>2028</v>
      </c>
      <c r="F1174" s="22">
        <v>2029</v>
      </c>
      <c r="G1174" s="22">
        <v>2030</v>
      </c>
      <c r="H1174" s="22">
        <v>2031</v>
      </c>
      <c r="I1174" s="22">
        <v>2032</v>
      </c>
      <c r="J1174" s="22">
        <v>2033</v>
      </c>
      <c r="K1174" s="22">
        <v>2034</v>
      </c>
      <c r="L1174" s="22">
        <v>2035</v>
      </c>
      <c r="M1174" s="22">
        <v>2036</v>
      </c>
    </row>
    <row r="1175">
      <c r="A1175" s="3" t="s">
        <v>504</v>
      </c>
      <c r="B1175" s="3"/>
      <c r="C1175" s="82">
        <v>0</v>
      </c>
      <c r="D1175" s="82">
        <v>0</v>
      </c>
      <c r="E1175" s="82">
        <v>0</v>
      </c>
      <c r="F1175" s="82">
        <v>0</v>
      </c>
      <c r="G1175" s="82">
        <v>0</v>
      </c>
      <c r="H1175" s="82">
        <v>0</v>
      </c>
      <c r="I1175" s="82">
        <v>0</v>
      </c>
      <c r="J1175" s="82">
        <v>0</v>
      </c>
      <c r="K1175" s="82">
        <v>0</v>
      </c>
      <c r="L1175" s="82">
        <v>0</v>
      </c>
      <c r="M1175" s="82">
        <v>0</v>
      </c>
    </row>
    <row r="1176">
      <c r="A1176" s="3" t="s">
        <v>506</v>
      </c>
      <c r="B1176" s="3"/>
      <c r="C1176" s="83">
        <v>0</v>
      </c>
      <c r="D1176" s="83">
        <v>0</v>
      </c>
      <c r="E1176" s="83">
        <v>0</v>
      </c>
      <c r="F1176" s="83">
        <v>0</v>
      </c>
      <c r="G1176" s="83">
        <v>0</v>
      </c>
      <c r="H1176" s="83">
        <v>0</v>
      </c>
      <c r="I1176" s="83">
        <v>0</v>
      </c>
      <c r="J1176" s="83">
        <v>0</v>
      </c>
      <c r="K1176" s="83">
        <v>0</v>
      </c>
      <c r="L1176" s="83">
        <v>0</v>
      </c>
      <c r="M1176" s="83">
        <v>0</v>
      </c>
    </row>
    <row r="1177">
      <c r="A1177" s="3" t="s">
        <v>507</v>
      </c>
      <c r="B1177" s="3"/>
      <c r="C1177" s="83">
        <v>0</v>
      </c>
      <c r="D1177" s="83">
        <v>0</v>
      </c>
      <c r="E1177" s="83">
        <v>0</v>
      </c>
      <c r="F1177" s="83">
        <v>0</v>
      </c>
      <c r="G1177" s="83">
        <v>0</v>
      </c>
      <c r="H1177" s="83">
        <v>0</v>
      </c>
      <c r="I1177" s="83">
        <v>0</v>
      </c>
      <c r="J1177" s="83">
        <v>0</v>
      </c>
      <c r="K1177" s="83">
        <v>0</v>
      </c>
      <c r="L1177" s="83">
        <v>0</v>
      </c>
      <c r="M1177" s="83">
        <v>0</v>
      </c>
    </row>
    <row r="1178">
      <c r="A1178" s="3" t="s">
        <v>508</v>
      </c>
      <c r="B1178" s="3"/>
      <c r="C1178" s="83">
        <v>0</v>
      </c>
      <c r="D1178" s="83">
        <v>0</v>
      </c>
      <c r="E1178" s="83">
        <v>0</v>
      </c>
      <c r="F1178" s="83">
        <v>0</v>
      </c>
      <c r="G1178" s="83">
        <v>0</v>
      </c>
      <c r="H1178" s="83">
        <v>0</v>
      </c>
      <c r="I1178" s="83">
        <v>0</v>
      </c>
      <c r="J1178" s="83">
        <v>0</v>
      </c>
      <c r="K1178" s="83">
        <v>0</v>
      </c>
      <c r="L1178" s="83">
        <v>0</v>
      </c>
      <c r="M1178" s="83">
        <v>0</v>
      </c>
    </row>
    <row r="1179">
      <c r="A1179" s="3" t="s">
        <v>509</v>
      </c>
      <c r="B1179" s="3"/>
      <c r="C1179" s="83">
        <v>0</v>
      </c>
      <c r="D1179" s="83">
        <v>0</v>
      </c>
      <c r="E1179" s="83">
        <v>0</v>
      </c>
      <c r="F1179" s="83">
        <v>0</v>
      </c>
      <c r="G1179" s="83">
        <v>0</v>
      </c>
      <c r="H1179" s="83">
        <v>0</v>
      </c>
      <c r="I1179" s="83">
        <v>0</v>
      </c>
      <c r="J1179" s="83">
        <v>0</v>
      </c>
      <c r="K1179" s="83">
        <v>0</v>
      </c>
      <c r="L1179" s="83">
        <v>0</v>
      </c>
      <c r="M1179" s="83">
        <v>0</v>
      </c>
    </row>
    <row r="1180">
      <c r="A1180" s="3" t="s">
        <v>510</v>
      </c>
      <c r="B1180" s="3"/>
      <c r="C1180" s="83">
        <v>0</v>
      </c>
      <c r="D1180" s="83">
        <v>0</v>
      </c>
      <c r="E1180" s="83">
        <v>0</v>
      </c>
      <c r="F1180" s="83">
        <v>0</v>
      </c>
      <c r="G1180" s="83">
        <v>0</v>
      </c>
      <c r="H1180" s="83">
        <v>0</v>
      </c>
      <c r="I1180" s="83">
        <v>0</v>
      </c>
      <c r="J1180" s="83">
        <v>0</v>
      </c>
      <c r="K1180" s="83">
        <v>0</v>
      </c>
      <c r="L1180" s="83">
        <v>0</v>
      </c>
      <c r="M1180" s="83">
        <v>0</v>
      </c>
    </row>
    <row r="1184">
      <c r="A1184" s="22" t="s">
        <v>529</v>
      </c>
      <c r="C1184" s="22" t="s">
        <v>363</v>
      </c>
      <c r="D1184" s="22"/>
      <c r="E1184" s="22"/>
      <c r="F1184" s="22"/>
      <c r="G1184" s="22"/>
      <c r="H1184" s="22"/>
      <c r="I1184" s="22"/>
      <c r="J1184" s="22"/>
      <c r="K1184" s="22"/>
      <c r="L1184" s="22"/>
      <c r="M1184" s="22"/>
    </row>
    <row r="1185">
      <c r="A1185" s="22"/>
      <c r="B1185" s="3"/>
      <c r="C1185" s="22">
        <v>2026</v>
      </c>
      <c r="D1185" s="22">
        <v>2027</v>
      </c>
      <c r="E1185" s="22">
        <v>2028</v>
      </c>
      <c r="F1185" s="22">
        <v>2029</v>
      </c>
      <c r="G1185" s="22">
        <v>2030</v>
      </c>
      <c r="H1185" s="22">
        <v>2031</v>
      </c>
      <c r="I1185" s="22">
        <v>2032</v>
      </c>
      <c r="J1185" s="22">
        <v>2033</v>
      </c>
      <c r="K1185" s="22">
        <v>2034</v>
      </c>
      <c r="L1185" s="22">
        <v>2035</v>
      </c>
      <c r="M1185" s="22">
        <v>2036</v>
      </c>
      <c r="N1185" s="22" t="s">
        <v>530</v>
      </c>
    </row>
    <row r="1186">
      <c r="A1186" s="3" t="s">
        <v>117</v>
      </c>
      <c r="B1186" s="3"/>
      <c r="C1186" s="74">
        <v>0</v>
      </c>
      <c r="D1186" s="74">
        <v>0</v>
      </c>
      <c r="E1186" s="74">
        <v>0</v>
      </c>
      <c r="F1186" s="74">
        <v>0</v>
      </c>
      <c r="G1186" s="74">
        <v>0</v>
      </c>
      <c r="H1186" s="74">
        <v>0</v>
      </c>
      <c r="I1186" s="74">
        <v>0</v>
      </c>
      <c r="J1186" s="74">
        <v>0</v>
      </c>
      <c r="K1186" s="74">
        <v>0</v>
      </c>
      <c r="L1186" s="74">
        <v>0</v>
      </c>
      <c r="M1186" s="74">
        <v>0</v>
      </c>
      <c r="N1186" s="78">
        <f>Sum(C1186:M1186)</f>
        <v>0</v>
      </c>
      <c r="O1186" s="76" t="e">
        <f>(N1186/N1193)</f>
        <v>#DIV/0!</v>
      </c>
      <c r="P1186" s="0" t="s">
        <v>531</v>
      </c>
    </row>
    <row r="1187">
      <c r="A1187" s="3" t="s">
        <v>121</v>
      </c>
      <c r="B1187" s="3"/>
      <c r="C1187" s="74">
        <v>0</v>
      </c>
      <c r="D1187" s="74">
        <v>0</v>
      </c>
      <c r="E1187" s="74">
        <v>0</v>
      </c>
      <c r="F1187" s="74">
        <v>0</v>
      </c>
      <c r="G1187" s="74">
        <v>0</v>
      </c>
      <c r="H1187" s="74">
        <v>0</v>
      </c>
      <c r="I1187" s="74">
        <v>0</v>
      </c>
      <c r="J1187" s="74">
        <v>0</v>
      </c>
      <c r="K1187" s="74">
        <v>0</v>
      </c>
      <c r="L1187" s="74">
        <v>0</v>
      </c>
      <c r="M1187" s="74">
        <v>0</v>
      </c>
      <c r="N1187" s="78">
        <f>Sum(C1187:M1187)</f>
        <v>0</v>
      </c>
      <c r="O1187" s="76" t="e">
        <f>(N1187/N1193)</f>
        <v>#DIV/0!</v>
      </c>
      <c r="P1187" s="0" t="s">
        <v>532</v>
      </c>
    </row>
    <row r="1188">
      <c r="A1188" s="3" t="s">
        <v>122</v>
      </c>
      <c r="B1188" s="3"/>
      <c r="C1188" s="74">
        <v>0</v>
      </c>
      <c r="D1188" s="74">
        <v>0</v>
      </c>
      <c r="E1188" s="74">
        <v>0</v>
      </c>
      <c r="F1188" s="74">
        <v>0</v>
      </c>
      <c r="G1188" s="74">
        <v>0</v>
      </c>
      <c r="H1188" s="74">
        <v>0</v>
      </c>
      <c r="I1188" s="74">
        <v>0</v>
      </c>
      <c r="J1188" s="74">
        <v>0</v>
      </c>
      <c r="K1188" s="74">
        <v>0</v>
      </c>
      <c r="L1188" s="74">
        <v>0</v>
      </c>
      <c r="M1188" s="74">
        <v>0</v>
      </c>
      <c r="N1188" s="78">
        <f>Sum(C1188:M1188)</f>
        <v>0</v>
      </c>
      <c r="O1188" s="76" t="e">
        <f>(N1188/N1193)</f>
        <v>#DIV/0!</v>
      </c>
      <c r="P1188" s="0" t="s">
        <v>533</v>
      </c>
    </row>
    <row r="1189">
      <c r="A1189" s="3" t="s">
        <v>124</v>
      </c>
      <c r="B1189" s="3"/>
      <c r="C1189" s="74">
        <v>0</v>
      </c>
      <c r="D1189" s="74">
        <v>0</v>
      </c>
      <c r="E1189" s="74">
        <v>0</v>
      </c>
      <c r="F1189" s="74">
        <v>0</v>
      </c>
      <c r="G1189" s="74">
        <v>0</v>
      </c>
      <c r="H1189" s="74">
        <v>0</v>
      </c>
      <c r="I1189" s="74">
        <v>0</v>
      </c>
      <c r="J1189" s="74">
        <v>0</v>
      </c>
      <c r="K1189" s="74">
        <v>0</v>
      </c>
      <c r="L1189" s="74">
        <v>0</v>
      </c>
      <c r="M1189" s="74">
        <v>0</v>
      </c>
      <c r="N1189" s="78">
        <f>Sum(C1189:M1189)</f>
        <v>0</v>
      </c>
      <c r="O1189" s="76" t="e">
        <f>(N1189/N1193)</f>
        <v>#DIV/0!</v>
      </c>
      <c r="P1189" s="0" t="s">
        <v>534</v>
      </c>
    </row>
    <row r="1190">
      <c r="A1190" s="3" t="s">
        <v>535</v>
      </c>
      <c r="B1190" s="3"/>
      <c r="C1190" s="74">
        <v>0</v>
      </c>
      <c r="D1190" s="74">
        <v>0</v>
      </c>
      <c r="E1190" s="74">
        <v>0</v>
      </c>
      <c r="F1190" s="74">
        <v>0</v>
      </c>
      <c r="G1190" s="74">
        <v>0</v>
      </c>
      <c r="H1190" s="74">
        <v>0</v>
      </c>
      <c r="I1190" s="74">
        <v>0</v>
      </c>
      <c r="J1190" s="74">
        <v>0</v>
      </c>
      <c r="K1190" s="74">
        <v>0</v>
      </c>
      <c r="L1190" s="74">
        <v>0</v>
      </c>
      <c r="M1190" s="74">
        <v>0</v>
      </c>
      <c r="N1190" s="78">
        <f>Sum(C1190:M1190)</f>
        <v>0</v>
      </c>
      <c r="O1190" s="76" t="e">
        <f>(N1190/N1193)</f>
        <v>#DIV/0!</v>
      </c>
      <c r="P1190" s="0" t="s">
        <v>536</v>
      </c>
    </row>
    <row r="1191">
      <c r="A1191" s="3" t="s">
        <v>537</v>
      </c>
      <c r="B1191" s="3"/>
      <c r="C1191" s="74">
        <v>0</v>
      </c>
      <c r="D1191" s="74">
        <v>0</v>
      </c>
      <c r="E1191" s="74">
        <v>0</v>
      </c>
      <c r="F1191" s="74">
        <v>0</v>
      </c>
      <c r="G1191" s="74">
        <v>0</v>
      </c>
      <c r="H1191" s="74">
        <v>0</v>
      </c>
      <c r="I1191" s="74">
        <v>0</v>
      </c>
      <c r="J1191" s="74">
        <v>0</v>
      </c>
      <c r="K1191" s="74">
        <v>0</v>
      </c>
      <c r="L1191" s="74">
        <v>0</v>
      </c>
      <c r="M1191" s="74">
        <v>0</v>
      </c>
      <c r="N1191" s="78">
        <f>Sum(C1191:M1191)</f>
        <v>0</v>
      </c>
      <c r="O1191" s="76" t="e">
        <f>(N1191/N1193)</f>
        <v>#DIV/0!</v>
      </c>
      <c r="P1191" s="0" t="s">
        <v>538</v>
      </c>
    </row>
    <row r="1192">
      <c r="A1192" s="3" t="s">
        <v>539</v>
      </c>
      <c r="B1192" s="3"/>
      <c r="C1192" s="74">
        <v>0</v>
      </c>
      <c r="D1192" s="74">
        <v>0</v>
      </c>
      <c r="E1192" s="74">
        <v>0</v>
      </c>
      <c r="F1192" s="74">
        <v>0</v>
      </c>
      <c r="G1192" s="74">
        <v>0</v>
      </c>
      <c r="H1192" s="74">
        <v>0</v>
      </c>
      <c r="I1192" s="74">
        <v>0</v>
      </c>
      <c r="J1192" s="74">
        <v>0</v>
      </c>
      <c r="K1192" s="74">
        <v>0</v>
      </c>
      <c r="L1192" s="74">
        <v>0</v>
      </c>
      <c r="M1192" s="74">
        <v>0</v>
      </c>
      <c r="N1192" s="78">
        <f>Sum(C1192:M1192)</f>
        <v>0</v>
      </c>
      <c r="O1192" s="76" t="e">
        <f>(N1192/N1193)</f>
        <v>#DIV/0!</v>
      </c>
      <c r="P1192" s="0" t="s">
        <v>540</v>
      </c>
    </row>
    <row r="1193">
      <c r="A1193" s="3" t="s">
        <v>541</v>
      </c>
      <c r="B1193" s="3"/>
      <c r="C1193" s="74"/>
      <c r="D1193" s="74"/>
      <c r="E1193" s="74"/>
      <c r="F1193" s="74"/>
      <c r="G1193" s="74"/>
      <c r="H1193" s="74"/>
      <c r="I1193" s="74"/>
      <c r="J1193" s="74"/>
      <c r="K1193" s="74"/>
      <c r="L1193" s="74"/>
      <c r="M1193" s="74"/>
      <c r="N1193" s="78">
        <f>Sum(C1193:M1193)</f>
        <v>0</v>
      </c>
    </row>
    <row r="1194">
      <c r="A1194" s="3"/>
      <c r="B1194" s="3"/>
      <c r="C1194" s="74"/>
      <c r="D1194" s="74"/>
      <c r="E1194" s="74"/>
      <c r="F1194" s="74"/>
      <c r="G1194" s="74"/>
      <c r="H1194" s="74"/>
      <c r="I1194" s="74"/>
      <c r="J1194" s="74"/>
      <c r="K1194" s="74"/>
      <c r="L1194" s="74"/>
      <c r="M1194" s="74"/>
      <c r="N1194" s="78"/>
    </row>
    <row r="1195">
      <c r="A1195" s="3" t="s">
        <v>542</v>
      </c>
      <c r="B1195" s="3"/>
      <c r="C1195" s="74">
        <v>0</v>
      </c>
      <c r="D1195" s="74">
        <v>0</v>
      </c>
      <c r="E1195" s="74">
        <v>0</v>
      </c>
      <c r="F1195" s="74">
        <v>0</v>
      </c>
      <c r="G1195" s="74">
        <v>0</v>
      </c>
      <c r="H1195" s="74">
        <v>0</v>
      </c>
      <c r="I1195" s="74">
        <v>0</v>
      </c>
      <c r="J1195" s="74">
        <v>0</v>
      </c>
      <c r="K1195" s="74">
        <v>0</v>
      </c>
      <c r="L1195" s="74">
        <v>0</v>
      </c>
      <c r="M1195" s="74">
        <v>0</v>
      </c>
      <c r="N1195" s="78">
        <f>Sum(C1195:M1195)</f>
        <v>0</v>
      </c>
    </row>
    <row r="1197">
      <c r="A1197" s="22" t="s">
        <v>543</v>
      </c>
      <c r="C1197" s="22" t="s">
        <v>363</v>
      </c>
      <c r="D1197" s="22"/>
      <c r="E1197" s="22"/>
      <c r="F1197" s="22"/>
      <c r="G1197" s="22"/>
      <c r="H1197" s="22"/>
      <c r="I1197" s="22"/>
      <c r="J1197" s="22"/>
      <c r="K1197" s="22"/>
      <c r="L1197" s="22"/>
      <c r="M1197" s="22"/>
    </row>
    <row r="1198">
      <c r="A1198" s="22"/>
      <c r="C1198" s="22">
        <v>2026</v>
      </c>
      <c r="D1198" s="22">
        <v>2027</v>
      </c>
      <c r="E1198" s="22">
        <v>2028</v>
      </c>
      <c r="F1198" s="22">
        <v>2029</v>
      </c>
      <c r="G1198" s="22">
        <v>2030</v>
      </c>
      <c r="H1198" s="22">
        <v>2031</v>
      </c>
      <c r="I1198" s="22">
        <v>2032</v>
      </c>
      <c r="J1198" s="22">
        <v>2033</v>
      </c>
      <c r="K1198" s="22">
        <v>2034</v>
      </c>
      <c r="L1198" s="22">
        <v>2035</v>
      </c>
      <c r="M1198" s="22">
        <v>2036</v>
      </c>
    </row>
    <row r="1199">
      <c r="A1199" s="3"/>
      <c r="B1199" s="3"/>
      <c r="C1199" s="74"/>
      <c r="D1199" s="74"/>
      <c r="E1199" s="74"/>
      <c r="F1199" s="74"/>
      <c r="G1199" s="74"/>
      <c r="H1199" s="74"/>
      <c r="I1199" s="74"/>
      <c r="J1199" s="74"/>
      <c r="K1199" s="74"/>
      <c r="L1199" s="74"/>
      <c r="M1199" s="74"/>
      <c r="N1199" s="78">
        <f>Sum(C1199:M1199)</f>
        <v>0</v>
      </c>
    </row>
    <row r="1202">
      <c r="A1202" s="22" t="s">
        <v>473</v>
      </c>
      <c r="C1202" s="22" t="s">
        <v>544</v>
      </c>
      <c r="D1202" s="22"/>
      <c r="E1202" s="22"/>
      <c r="F1202" s="22"/>
      <c r="G1202" s="22"/>
      <c r="H1202" s="22"/>
      <c r="I1202" s="22"/>
      <c r="J1202" s="22"/>
      <c r="K1202" s="22"/>
      <c r="L1202" s="22"/>
      <c r="M1202" s="22"/>
    </row>
    <row r="1203">
      <c r="A1203" s="22"/>
      <c r="C1203" s="22">
        <v>2026</v>
      </c>
      <c r="D1203" s="22">
        <v>2027</v>
      </c>
      <c r="E1203" s="22">
        <v>2028</v>
      </c>
      <c r="F1203" s="22">
        <v>2029</v>
      </c>
      <c r="G1203" s="22">
        <v>2030</v>
      </c>
      <c r="H1203" s="22">
        <v>2031</v>
      </c>
      <c r="I1203" s="22">
        <v>2032</v>
      </c>
      <c r="J1203" s="22">
        <v>2033</v>
      </c>
      <c r="K1203" s="22">
        <v>2034</v>
      </c>
      <c r="L1203" s="22">
        <v>2035</v>
      </c>
      <c r="M1203" s="22">
        <v>2036</v>
      </c>
    </row>
    <row r="1204">
      <c r="A1204" s="3" t="s">
        <v>545</v>
      </c>
      <c r="B1204" s="3"/>
      <c r="C1204" s="90">
        <v>0</v>
      </c>
      <c r="D1204" s="90">
        <v>0</v>
      </c>
      <c r="E1204" s="90">
        <v>0</v>
      </c>
      <c r="F1204" s="90">
        <v>0</v>
      </c>
      <c r="G1204" s="90">
        <v>0</v>
      </c>
      <c r="H1204" s="90">
        <v>0</v>
      </c>
      <c r="I1204" s="90">
        <v>0</v>
      </c>
      <c r="J1204" s="90">
        <v>0</v>
      </c>
      <c r="K1204" s="90">
        <v>0</v>
      </c>
      <c r="L1204" s="90">
        <v>0</v>
      </c>
      <c r="M1204" s="90">
        <v>0</v>
      </c>
    </row>
    <row r="1205">
      <c r="A1205" s="3" t="s">
        <v>546</v>
      </c>
      <c r="B1205" s="3"/>
      <c r="C1205" s="90">
        <v>0</v>
      </c>
      <c r="D1205" s="90">
        <v>0</v>
      </c>
      <c r="E1205" s="90">
        <v>0</v>
      </c>
      <c r="F1205" s="90">
        <v>0</v>
      </c>
      <c r="G1205" s="90">
        <v>0</v>
      </c>
      <c r="H1205" s="90">
        <v>0</v>
      </c>
      <c r="I1205" s="90">
        <v>0</v>
      </c>
      <c r="J1205" s="90">
        <v>0</v>
      </c>
      <c r="K1205" s="90">
        <v>0</v>
      </c>
      <c r="L1205" s="90">
        <v>0</v>
      </c>
      <c r="M1205" s="90">
        <v>0</v>
      </c>
    </row>
    <row r="1206">
      <c r="A1206" s="3" t="s">
        <v>547</v>
      </c>
      <c r="B1206" s="3"/>
      <c r="C1206" s="90">
        <v>0</v>
      </c>
      <c r="D1206" s="90">
        <v>0</v>
      </c>
      <c r="E1206" s="90">
        <v>0</v>
      </c>
      <c r="F1206" s="90">
        <v>0</v>
      </c>
      <c r="G1206" s="90">
        <v>0</v>
      </c>
      <c r="H1206" s="90">
        <v>0</v>
      </c>
      <c r="I1206" s="90">
        <v>0</v>
      </c>
      <c r="J1206" s="90">
        <v>0</v>
      </c>
      <c r="K1206" s="90">
        <v>0</v>
      </c>
      <c r="L1206" s="90">
        <v>0</v>
      </c>
      <c r="M1206" s="90">
        <v>0</v>
      </c>
    </row>
    <row r="1207">
      <c r="A1207" s="3" t="s">
        <v>548</v>
      </c>
      <c r="B1207" s="3"/>
      <c r="C1207" s="90">
        <v>0</v>
      </c>
      <c r="D1207" s="90">
        <v>0</v>
      </c>
      <c r="E1207" s="90">
        <v>0</v>
      </c>
      <c r="F1207" s="90">
        <v>0</v>
      </c>
      <c r="G1207" s="90">
        <v>0</v>
      </c>
      <c r="H1207" s="90">
        <v>0</v>
      </c>
      <c r="I1207" s="90">
        <v>0</v>
      </c>
      <c r="J1207" s="90">
        <v>0</v>
      </c>
      <c r="K1207" s="90">
        <v>0</v>
      </c>
      <c r="L1207" s="90">
        <v>0</v>
      </c>
      <c r="M1207" s="90">
        <v>0</v>
      </c>
    </row>
    <row r="1208">
      <c r="A1208" s="3" t="s">
        <v>549</v>
      </c>
      <c r="B1208" s="3"/>
      <c r="C1208" s="90">
        <v>0</v>
      </c>
      <c r="D1208" s="90">
        <v>0</v>
      </c>
      <c r="E1208" s="90">
        <v>0</v>
      </c>
      <c r="F1208" s="90">
        <v>0</v>
      </c>
      <c r="G1208" s="90">
        <v>0</v>
      </c>
      <c r="H1208" s="90">
        <v>0</v>
      </c>
      <c r="I1208" s="90">
        <v>0</v>
      </c>
      <c r="J1208" s="90">
        <v>0</v>
      </c>
      <c r="K1208" s="90">
        <v>0</v>
      </c>
      <c r="L1208" s="90">
        <v>0</v>
      </c>
      <c r="M1208" s="90">
        <v>0</v>
      </c>
    </row>
    <row r="1209">
      <c r="A1209" s="3" t="s">
        <v>550</v>
      </c>
      <c r="B1209" s="3"/>
      <c r="C1209" s="90">
        <v>0</v>
      </c>
      <c r="D1209" s="90">
        <v>0</v>
      </c>
      <c r="E1209" s="90">
        <v>0</v>
      </c>
      <c r="F1209" s="90">
        <v>0</v>
      </c>
      <c r="G1209" s="90">
        <v>0</v>
      </c>
      <c r="H1209" s="90">
        <v>0</v>
      </c>
      <c r="I1209" s="90">
        <v>0</v>
      </c>
      <c r="J1209" s="90">
        <v>0</v>
      </c>
      <c r="K1209" s="90">
        <v>0</v>
      </c>
      <c r="L1209" s="90">
        <v>0</v>
      </c>
      <c r="M1209" s="90">
        <v>0</v>
      </c>
    </row>
    <row r="1210">
      <c r="A1210" s="3" t="s">
        <v>551</v>
      </c>
      <c r="B1210" s="3"/>
      <c r="C1210" s="90">
        <v>0</v>
      </c>
      <c r="D1210" s="90">
        <v>0</v>
      </c>
      <c r="E1210" s="90"/>
      <c r="F1210" s="90">
        <v>0</v>
      </c>
      <c r="G1210" s="90"/>
      <c r="H1210" s="90">
        <v>0</v>
      </c>
      <c r="I1210" s="90"/>
      <c r="J1210" s="90"/>
      <c r="K1210" s="90"/>
      <c r="L1210" s="90"/>
      <c r="M1210" s="90">
        <v>0</v>
      </c>
    </row>
    <row r="1212">
      <c r="A1212" s="25" t="s">
        <v>159</v>
      </c>
      <c r="B1212" s="25"/>
      <c r="C1212" s="25"/>
      <c r="D1212" s="25"/>
      <c r="E1212" s="25"/>
      <c r="F1212" s="25"/>
      <c r="G1212" s="25"/>
      <c r="H1212" s="25"/>
      <c r="I1212" s="25"/>
      <c r="J1212" s="25"/>
      <c r="K1212" s="25"/>
      <c r="L1212" s="24"/>
      <c r="M1212" s="24"/>
    </row>
    <row r="1215">
      <c r="A1215" s="22" t="s">
        <v>363</v>
      </c>
      <c r="C1215" s="22" t="s">
        <v>502</v>
      </c>
      <c r="D1215" s="22"/>
      <c r="E1215" s="22"/>
      <c r="F1215" s="22"/>
      <c r="G1215" s="22"/>
      <c r="H1215" s="22"/>
      <c r="I1215" s="22"/>
      <c r="J1215" s="22"/>
      <c r="K1215" s="22"/>
      <c r="L1215" s="22"/>
      <c r="M1215" s="22"/>
    </row>
    <row r="1216">
      <c r="A1216" s="22"/>
      <c r="C1216" s="22">
        <v>2026</v>
      </c>
      <c r="D1216" s="22">
        <v>2027</v>
      </c>
      <c r="E1216" s="22">
        <v>2028</v>
      </c>
      <c r="F1216" s="22">
        <v>2029</v>
      </c>
      <c r="G1216" s="22">
        <v>2030</v>
      </c>
      <c r="H1216" s="22">
        <v>2031</v>
      </c>
      <c r="I1216" s="22">
        <v>2032</v>
      </c>
      <c r="J1216" s="22">
        <v>2033</v>
      </c>
      <c r="K1216" s="22">
        <v>2034</v>
      </c>
      <c r="L1216" s="22">
        <v>2035</v>
      </c>
      <c r="M1216" s="22">
        <v>2036</v>
      </c>
    </row>
    <row r="1217">
      <c r="A1217" s="3" t="s">
        <v>504</v>
      </c>
      <c r="B1217" s="3"/>
      <c r="C1217" s="82">
        <v>0</v>
      </c>
      <c r="D1217" s="82">
        <v>0</v>
      </c>
      <c r="E1217" s="82">
        <v>0</v>
      </c>
      <c r="F1217" s="82">
        <v>0</v>
      </c>
      <c r="G1217" s="82">
        <v>0</v>
      </c>
      <c r="H1217" s="82">
        <v>0</v>
      </c>
      <c r="I1217" s="82">
        <v>0</v>
      </c>
      <c r="J1217" s="82">
        <v>0</v>
      </c>
      <c r="K1217" s="82">
        <v>0</v>
      </c>
      <c r="L1217" s="82">
        <v>0</v>
      </c>
      <c r="M1217" s="82">
        <v>0</v>
      </c>
    </row>
    <row r="1218">
      <c r="A1218" s="3" t="s">
        <v>506</v>
      </c>
      <c r="B1218" s="3"/>
      <c r="C1218" s="83">
        <v>0</v>
      </c>
      <c r="D1218" s="83">
        <v>0</v>
      </c>
      <c r="E1218" s="83">
        <v>0</v>
      </c>
      <c r="F1218" s="83">
        <v>0</v>
      </c>
      <c r="G1218" s="83">
        <v>0</v>
      </c>
      <c r="H1218" s="83">
        <v>0</v>
      </c>
      <c r="I1218" s="83">
        <v>0</v>
      </c>
      <c r="J1218" s="83">
        <v>0</v>
      </c>
      <c r="K1218" s="83">
        <v>0</v>
      </c>
      <c r="L1218" s="83">
        <v>0</v>
      </c>
      <c r="M1218" s="83">
        <v>0</v>
      </c>
    </row>
    <row r="1219">
      <c r="A1219" s="3" t="s">
        <v>507</v>
      </c>
      <c r="B1219" s="3"/>
      <c r="C1219" s="83">
        <v>0</v>
      </c>
      <c r="D1219" s="83">
        <v>0</v>
      </c>
      <c r="E1219" s="83">
        <v>0</v>
      </c>
      <c r="F1219" s="83">
        <v>0</v>
      </c>
      <c r="G1219" s="83">
        <v>0</v>
      </c>
      <c r="H1219" s="83">
        <v>0</v>
      </c>
      <c r="I1219" s="83">
        <v>0</v>
      </c>
      <c r="J1219" s="83">
        <v>0</v>
      </c>
      <c r="K1219" s="83">
        <v>0</v>
      </c>
      <c r="L1219" s="83">
        <v>0</v>
      </c>
      <c r="M1219" s="83">
        <v>0</v>
      </c>
    </row>
    <row r="1220">
      <c r="A1220" s="3" t="s">
        <v>508</v>
      </c>
      <c r="B1220" s="3"/>
      <c r="C1220" s="83">
        <v>0</v>
      </c>
      <c r="D1220" s="83">
        <v>0</v>
      </c>
      <c r="E1220" s="83">
        <v>0</v>
      </c>
      <c r="F1220" s="83">
        <v>0</v>
      </c>
      <c r="G1220" s="83">
        <v>0</v>
      </c>
      <c r="H1220" s="83">
        <v>0</v>
      </c>
      <c r="I1220" s="83">
        <v>0</v>
      </c>
      <c r="J1220" s="83">
        <v>0</v>
      </c>
      <c r="K1220" s="83">
        <v>0</v>
      </c>
      <c r="L1220" s="83">
        <v>0</v>
      </c>
      <c r="M1220" s="83">
        <v>0</v>
      </c>
    </row>
    <row r="1221">
      <c r="A1221" s="3" t="s">
        <v>509</v>
      </c>
      <c r="B1221" s="3"/>
      <c r="C1221" s="83">
        <v>0</v>
      </c>
      <c r="D1221" s="83">
        <v>0</v>
      </c>
      <c r="E1221" s="83">
        <v>0</v>
      </c>
      <c r="F1221" s="83">
        <v>0</v>
      </c>
      <c r="G1221" s="83">
        <v>0</v>
      </c>
      <c r="H1221" s="83">
        <v>0</v>
      </c>
      <c r="I1221" s="83">
        <v>0</v>
      </c>
      <c r="J1221" s="83">
        <v>0</v>
      </c>
      <c r="K1221" s="83">
        <v>0</v>
      </c>
      <c r="L1221" s="83">
        <v>0</v>
      </c>
      <c r="M1221" s="83">
        <v>0</v>
      </c>
    </row>
    <row r="1222">
      <c r="A1222" s="3" t="s">
        <v>510</v>
      </c>
      <c r="B1222" s="3"/>
      <c r="C1222" s="83">
        <v>0</v>
      </c>
      <c r="D1222" s="83">
        <v>0</v>
      </c>
      <c r="E1222" s="83">
        <v>0</v>
      </c>
      <c r="F1222" s="83">
        <v>0</v>
      </c>
      <c r="G1222" s="83">
        <v>0</v>
      </c>
      <c r="H1222" s="83">
        <v>0</v>
      </c>
      <c r="I1222" s="83">
        <v>0</v>
      </c>
      <c r="J1222" s="83">
        <v>0</v>
      </c>
      <c r="K1222" s="83">
        <v>0</v>
      </c>
      <c r="L1222" s="83">
        <v>0</v>
      </c>
      <c r="M1222" s="83">
        <v>0</v>
      </c>
    </row>
    <row r="1226">
      <c r="A1226" s="22" t="s">
        <v>529</v>
      </c>
      <c r="C1226" s="22" t="s">
        <v>363</v>
      </c>
      <c r="D1226" s="22"/>
      <c r="E1226" s="22"/>
      <c r="F1226" s="22"/>
      <c r="G1226" s="22"/>
      <c r="H1226" s="22"/>
      <c r="I1226" s="22"/>
      <c r="J1226" s="22"/>
      <c r="K1226" s="22"/>
      <c r="L1226" s="22"/>
      <c r="M1226" s="22"/>
    </row>
    <row r="1227">
      <c r="A1227" s="22"/>
      <c r="B1227" s="3"/>
      <c r="C1227" s="22">
        <v>2026</v>
      </c>
      <c r="D1227" s="22">
        <v>2027</v>
      </c>
      <c r="E1227" s="22">
        <v>2028</v>
      </c>
      <c r="F1227" s="22">
        <v>2029</v>
      </c>
      <c r="G1227" s="22">
        <v>2030</v>
      </c>
      <c r="H1227" s="22">
        <v>2031</v>
      </c>
      <c r="I1227" s="22">
        <v>2032</v>
      </c>
      <c r="J1227" s="22">
        <v>2033</v>
      </c>
      <c r="K1227" s="22">
        <v>2034</v>
      </c>
      <c r="L1227" s="22">
        <v>2035</v>
      </c>
      <c r="M1227" s="22">
        <v>2036</v>
      </c>
      <c r="N1227" s="22" t="s">
        <v>530</v>
      </c>
    </row>
    <row r="1228">
      <c r="A1228" s="3" t="s">
        <v>117</v>
      </c>
      <c r="B1228" s="3"/>
      <c r="C1228" s="74">
        <v>0</v>
      </c>
      <c r="D1228" s="74">
        <v>0</v>
      </c>
      <c r="E1228" s="74">
        <v>0</v>
      </c>
      <c r="F1228" s="74">
        <v>0</v>
      </c>
      <c r="G1228" s="74">
        <v>0</v>
      </c>
      <c r="H1228" s="74">
        <v>0</v>
      </c>
      <c r="I1228" s="74">
        <v>0</v>
      </c>
      <c r="J1228" s="74">
        <v>0</v>
      </c>
      <c r="K1228" s="74">
        <v>0</v>
      </c>
      <c r="L1228" s="74">
        <v>0</v>
      </c>
      <c r="M1228" s="74">
        <v>0</v>
      </c>
      <c r="N1228" s="78">
        <f>Sum(C1228:M1228)</f>
        <v>0</v>
      </c>
      <c r="O1228" s="76" t="e">
        <f>(N1228/N1235)</f>
        <v>#DIV/0!</v>
      </c>
      <c r="P1228" s="0" t="s">
        <v>531</v>
      </c>
    </row>
    <row r="1229">
      <c r="A1229" s="3" t="s">
        <v>121</v>
      </c>
      <c r="B1229" s="3"/>
      <c r="C1229" s="74">
        <v>0</v>
      </c>
      <c r="D1229" s="74">
        <v>0</v>
      </c>
      <c r="E1229" s="74">
        <v>0</v>
      </c>
      <c r="F1229" s="74">
        <v>0</v>
      </c>
      <c r="G1229" s="74">
        <v>0</v>
      </c>
      <c r="H1229" s="74">
        <v>0</v>
      </c>
      <c r="I1229" s="74">
        <v>0</v>
      </c>
      <c r="J1229" s="74">
        <v>0</v>
      </c>
      <c r="K1229" s="74">
        <v>0</v>
      </c>
      <c r="L1229" s="74">
        <v>0</v>
      </c>
      <c r="M1229" s="74">
        <v>0</v>
      </c>
      <c r="N1229" s="78">
        <f>Sum(C1229:M1229)</f>
        <v>0</v>
      </c>
      <c r="O1229" s="76" t="e">
        <f>(N1229/N1235)</f>
        <v>#DIV/0!</v>
      </c>
      <c r="P1229" s="0" t="s">
        <v>532</v>
      </c>
    </row>
    <row r="1230">
      <c r="A1230" s="3" t="s">
        <v>122</v>
      </c>
      <c r="B1230" s="3"/>
      <c r="C1230" s="74">
        <v>0</v>
      </c>
      <c r="D1230" s="74">
        <v>0</v>
      </c>
      <c r="E1230" s="74">
        <v>0</v>
      </c>
      <c r="F1230" s="74">
        <v>0</v>
      </c>
      <c r="G1230" s="74">
        <v>0</v>
      </c>
      <c r="H1230" s="74">
        <v>0</v>
      </c>
      <c r="I1230" s="74">
        <v>0</v>
      </c>
      <c r="J1230" s="74">
        <v>0</v>
      </c>
      <c r="K1230" s="74">
        <v>0</v>
      </c>
      <c r="L1230" s="74">
        <v>0</v>
      </c>
      <c r="M1230" s="74">
        <v>0</v>
      </c>
      <c r="N1230" s="78">
        <f>Sum(C1230:M1230)</f>
        <v>0</v>
      </c>
      <c r="O1230" s="76" t="e">
        <f>(N1230/N1235)</f>
        <v>#DIV/0!</v>
      </c>
      <c r="P1230" s="0" t="s">
        <v>533</v>
      </c>
    </row>
    <row r="1231">
      <c r="A1231" s="3" t="s">
        <v>124</v>
      </c>
      <c r="B1231" s="3"/>
      <c r="C1231" s="74">
        <v>0</v>
      </c>
      <c r="D1231" s="74">
        <v>0</v>
      </c>
      <c r="E1231" s="74">
        <v>0</v>
      </c>
      <c r="F1231" s="74">
        <v>0</v>
      </c>
      <c r="G1231" s="74">
        <v>0</v>
      </c>
      <c r="H1231" s="74">
        <v>0</v>
      </c>
      <c r="I1231" s="74">
        <v>0</v>
      </c>
      <c r="J1231" s="74">
        <v>0</v>
      </c>
      <c r="K1231" s="74">
        <v>0</v>
      </c>
      <c r="L1231" s="74">
        <v>0</v>
      </c>
      <c r="M1231" s="74">
        <v>0</v>
      </c>
      <c r="N1231" s="78">
        <f>Sum(C1231:M1231)</f>
        <v>0</v>
      </c>
      <c r="O1231" s="76" t="e">
        <f>(N1231/N1235)</f>
        <v>#DIV/0!</v>
      </c>
      <c r="P1231" s="0" t="s">
        <v>534</v>
      </c>
    </row>
    <row r="1232">
      <c r="A1232" s="3" t="s">
        <v>535</v>
      </c>
      <c r="B1232" s="3"/>
      <c r="C1232" s="74">
        <v>0</v>
      </c>
      <c r="D1232" s="74">
        <v>0</v>
      </c>
      <c r="E1232" s="74">
        <v>0</v>
      </c>
      <c r="F1232" s="74">
        <v>0</v>
      </c>
      <c r="G1232" s="74">
        <v>0</v>
      </c>
      <c r="H1232" s="74">
        <v>0</v>
      </c>
      <c r="I1232" s="74">
        <v>0</v>
      </c>
      <c r="J1232" s="74">
        <v>0</v>
      </c>
      <c r="K1232" s="74">
        <v>0</v>
      </c>
      <c r="L1232" s="74">
        <v>0</v>
      </c>
      <c r="M1232" s="74">
        <v>0</v>
      </c>
      <c r="N1232" s="78">
        <f>Sum(C1232:M1232)</f>
        <v>0</v>
      </c>
      <c r="O1232" s="76" t="e">
        <f>(N1232/N1235)</f>
        <v>#DIV/0!</v>
      </c>
      <c r="P1232" s="0" t="s">
        <v>536</v>
      </c>
    </row>
    <row r="1233">
      <c r="A1233" s="3" t="s">
        <v>537</v>
      </c>
      <c r="B1233" s="3"/>
      <c r="C1233" s="74">
        <v>0</v>
      </c>
      <c r="D1233" s="74">
        <v>0</v>
      </c>
      <c r="E1233" s="74">
        <v>0</v>
      </c>
      <c r="F1233" s="74">
        <v>0</v>
      </c>
      <c r="G1233" s="74">
        <v>0</v>
      </c>
      <c r="H1233" s="74">
        <v>0</v>
      </c>
      <c r="I1233" s="74">
        <v>0</v>
      </c>
      <c r="J1233" s="74">
        <v>0</v>
      </c>
      <c r="K1233" s="74">
        <v>0</v>
      </c>
      <c r="L1233" s="74">
        <v>0</v>
      </c>
      <c r="M1233" s="74">
        <v>0</v>
      </c>
      <c r="N1233" s="78">
        <f>Sum(C1233:M1233)</f>
        <v>0</v>
      </c>
      <c r="O1233" s="76" t="e">
        <f>(N1233/N1235)</f>
        <v>#DIV/0!</v>
      </c>
      <c r="P1233" s="0" t="s">
        <v>538</v>
      </c>
    </row>
    <row r="1234">
      <c r="A1234" s="3" t="s">
        <v>539</v>
      </c>
      <c r="B1234" s="3"/>
      <c r="C1234" s="74">
        <v>0</v>
      </c>
      <c r="D1234" s="74">
        <v>0</v>
      </c>
      <c r="E1234" s="74">
        <v>0</v>
      </c>
      <c r="F1234" s="74">
        <v>0</v>
      </c>
      <c r="G1234" s="74">
        <v>0</v>
      </c>
      <c r="H1234" s="74">
        <v>0</v>
      </c>
      <c r="I1234" s="74">
        <v>0</v>
      </c>
      <c r="J1234" s="74">
        <v>0</v>
      </c>
      <c r="K1234" s="74">
        <v>0</v>
      </c>
      <c r="L1234" s="74">
        <v>0</v>
      </c>
      <c r="M1234" s="74">
        <v>0</v>
      </c>
      <c r="N1234" s="78">
        <f>Sum(C1234:M1234)</f>
        <v>0</v>
      </c>
      <c r="O1234" s="76" t="e">
        <f>(N1234/N1235)</f>
        <v>#DIV/0!</v>
      </c>
      <c r="P1234" s="0" t="s">
        <v>540</v>
      </c>
    </row>
    <row r="1235">
      <c r="A1235" s="3" t="s">
        <v>541</v>
      </c>
      <c r="B1235" s="3"/>
      <c r="C1235" s="74"/>
      <c r="D1235" s="74"/>
      <c r="E1235" s="74"/>
      <c r="F1235" s="74"/>
      <c r="G1235" s="74"/>
      <c r="H1235" s="74"/>
      <c r="I1235" s="74"/>
      <c r="J1235" s="74"/>
      <c r="K1235" s="74"/>
      <c r="L1235" s="74"/>
      <c r="M1235" s="74"/>
      <c r="N1235" s="78">
        <f>Sum(C1235:M1235)</f>
        <v>0</v>
      </c>
    </row>
    <row r="1236">
      <c r="A1236" s="3"/>
      <c r="B1236" s="3"/>
      <c r="C1236" s="74"/>
      <c r="D1236" s="74"/>
      <c r="E1236" s="74"/>
      <c r="F1236" s="74"/>
      <c r="G1236" s="74"/>
      <c r="H1236" s="74"/>
      <c r="I1236" s="74"/>
      <c r="J1236" s="74"/>
      <c r="K1236" s="74"/>
      <c r="L1236" s="74"/>
      <c r="M1236" s="74"/>
      <c r="N1236" s="78"/>
    </row>
    <row r="1237">
      <c r="A1237" s="3" t="s">
        <v>542</v>
      </c>
      <c r="B1237" s="3"/>
      <c r="C1237" s="74">
        <v>0</v>
      </c>
      <c r="D1237" s="74">
        <v>0</v>
      </c>
      <c r="E1237" s="74">
        <v>0</v>
      </c>
      <c r="F1237" s="74">
        <v>0</v>
      </c>
      <c r="G1237" s="74">
        <v>0</v>
      </c>
      <c r="H1237" s="74">
        <v>0</v>
      </c>
      <c r="I1237" s="74">
        <v>0</v>
      </c>
      <c r="J1237" s="74">
        <v>0</v>
      </c>
      <c r="K1237" s="74">
        <v>0</v>
      </c>
      <c r="L1237" s="74">
        <v>0</v>
      </c>
      <c r="M1237" s="74">
        <v>0</v>
      </c>
      <c r="N1237" s="78">
        <f>Sum(C1237:M1237)</f>
        <v>0</v>
      </c>
    </row>
    <row r="1239">
      <c r="A1239" s="22" t="s">
        <v>543</v>
      </c>
      <c r="C1239" s="22" t="s">
        <v>363</v>
      </c>
      <c r="D1239" s="22"/>
      <c r="E1239" s="22"/>
      <c r="F1239" s="22"/>
      <c r="G1239" s="22"/>
      <c r="H1239" s="22"/>
      <c r="I1239" s="22"/>
      <c r="J1239" s="22"/>
      <c r="K1239" s="22"/>
      <c r="L1239" s="22"/>
      <c r="M1239" s="22"/>
    </row>
    <row r="1240">
      <c r="A1240" s="22"/>
      <c r="C1240" s="22">
        <v>2026</v>
      </c>
      <c r="D1240" s="22">
        <v>2027</v>
      </c>
      <c r="E1240" s="22">
        <v>2028</v>
      </c>
      <c r="F1240" s="22">
        <v>2029</v>
      </c>
      <c r="G1240" s="22">
        <v>2030</v>
      </c>
      <c r="H1240" s="22">
        <v>2031</v>
      </c>
      <c r="I1240" s="22">
        <v>2032</v>
      </c>
      <c r="J1240" s="22">
        <v>2033</v>
      </c>
      <c r="K1240" s="22">
        <v>2034</v>
      </c>
      <c r="L1240" s="22">
        <v>2035</v>
      </c>
      <c r="M1240" s="22">
        <v>2036</v>
      </c>
    </row>
    <row r="1241">
      <c r="A1241" s="3"/>
      <c r="B1241" s="3"/>
      <c r="C1241" s="74"/>
      <c r="D1241" s="74"/>
      <c r="E1241" s="74"/>
      <c r="F1241" s="74"/>
      <c r="G1241" s="74"/>
      <c r="H1241" s="74"/>
      <c r="I1241" s="74"/>
      <c r="J1241" s="74"/>
      <c r="K1241" s="74"/>
      <c r="L1241" s="74"/>
      <c r="M1241" s="74"/>
      <c r="N1241" s="78">
        <f>Sum(C1241:M1241)</f>
        <v>0</v>
      </c>
    </row>
    <row r="1244">
      <c r="A1244" s="22" t="s">
        <v>473</v>
      </c>
      <c r="C1244" s="22" t="s">
        <v>544</v>
      </c>
      <c r="D1244" s="22"/>
      <c r="E1244" s="22"/>
      <c r="F1244" s="22"/>
      <c r="G1244" s="22"/>
      <c r="H1244" s="22"/>
      <c r="I1244" s="22"/>
      <c r="J1244" s="22"/>
      <c r="K1244" s="22"/>
      <c r="L1244" s="22"/>
      <c r="M1244" s="22"/>
    </row>
    <row r="1245">
      <c r="A1245" s="22"/>
      <c r="C1245" s="22">
        <v>2026</v>
      </c>
      <c r="D1245" s="22">
        <v>2027</v>
      </c>
      <c r="E1245" s="22">
        <v>2028</v>
      </c>
      <c r="F1245" s="22">
        <v>2029</v>
      </c>
      <c r="G1245" s="22">
        <v>2030</v>
      </c>
      <c r="H1245" s="22">
        <v>2031</v>
      </c>
      <c r="I1245" s="22">
        <v>2032</v>
      </c>
      <c r="J1245" s="22">
        <v>2033</v>
      </c>
      <c r="K1245" s="22">
        <v>2034</v>
      </c>
      <c r="L1245" s="22">
        <v>2035</v>
      </c>
      <c r="M1245" s="22">
        <v>2036</v>
      </c>
    </row>
    <row r="1246">
      <c r="A1246" s="3" t="s">
        <v>545</v>
      </c>
      <c r="B1246" s="3"/>
      <c r="C1246" s="90">
        <v>0</v>
      </c>
      <c r="D1246" s="90">
        <v>0</v>
      </c>
      <c r="E1246" s="90">
        <v>0</v>
      </c>
      <c r="F1246" s="90">
        <v>0</v>
      </c>
      <c r="G1246" s="90">
        <v>0</v>
      </c>
      <c r="H1246" s="90">
        <v>0</v>
      </c>
      <c r="I1246" s="90">
        <v>0</v>
      </c>
      <c r="J1246" s="90">
        <v>0</v>
      </c>
      <c r="K1246" s="90">
        <v>0</v>
      </c>
      <c r="L1246" s="90">
        <v>0</v>
      </c>
      <c r="M1246" s="90">
        <v>0</v>
      </c>
    </row>
    <row r="1247">
      <c r="A1247" s="3" t="s">
        <v>546</v>
      </c>
      <c r="B1247" s="3"/>
      <c r="C1247" s="90">
        <v>0</v>
      </c>
      <c r="D1247" s="90">
        <v>0</v>
      </c>
      <c r="E1247" s="90">
        <v>0</v>
      </c>
      <c r="F1247" s="90">
        <v>0</v>
      </c>
      <c r="G1247" s="90">
        <v>0</v>
      </c>
      <c r="H1247" s="90">
        <v>0</v>
      </c>
      <c r="I1247" s="90">
        <v>0</v>
      </c>
      <c r="J1247" s="90">
        <v>0</v>
      </c>
      <c r="K1247" s="90">
        <v>0</v>
      </c>
      <c r="L1247" s="90">
        <v>0</v>
      </c>
      <c r="M1247" s="90">
        <v>0</v>
      </c>
    </row>
    <row r="1248">
      <c r="A1248" s="3" t="s">
        <v>547</v>
      </c>
      <c r="B1248" s="3"/>
      <c r="C1248" s="90">
        <v>0</v>
      </c>
      <c r="D1248" s="90">
        <v>0</v>
      </c>
      <c r="E1248" s="90">
        <v>0</v>
      </c>
      <c r="F1248" s="90">
        <v>0</v>
      </c>
      <c r="G1248" s="90">
        <v>0</v>
      </c>
      <c r="H1248" s="90">
        <v>0</v>
      </c>
      <c r="I1248" s="90">
        <v>0</v>
      </c>
      <c r="J1248" s="90">
        <v>0</v>
      </c>
      <c r="K1248" s="90">
        <v>0</v>
      </c>
      <c r="L1248" s="90">
        <v>0</v>
      </c>
      <c r="M1248" s="90">
        <v>0</v>
      </c>
    </row>
    <row r="1249">
      <c r="A1249" s="3" t="s">
        <v>548</v>
      </c>
      <c r="B1249" s="3"/>
      <c r="C1249" s="90">
        <v>0</v>
      </c>
      <c r="D1249" s="90">
        <v>0</v>
      </c>
      <c r="E1249" s="90">
        <v>0</v>
      </c>
      <c r="F1249" s="90">
        <v>0</v>
      </c>
      <c r="G1249" s="90">
        <v>0</v>
      </c>
      <c r="H1249" s="90">
        <v>0</v>
      </c>
      <c r="I1249" s="90">
        <v>0</v>
      </c>
      <c r="J1249" s="90">
        <v>0</v>
      </c>
      <c r="K1249" s="90">
        <v>0</v>
      </c>
      <c r="L1249" s="90">
        <v>0</v>
      </c>
      <c r="M1249" s="90">
        <v>0</v>
      </c>
    </row>
    <row r="1250">
      <c r="A1250" s="3" t="s">
        <v>549</v>
      </c>
      <c r="B1250" s="3"/>
      <c r="C1250" s="90">
        <v>0</v>
      </c>
      <c r="D1250" s="90">
        <v>0</v>
      </c>
      <c r="E1250" s="90">
        <v>0</v>
      </c>
      <c r="F1250" s="90">
        <v>0</v>
      </c>
      <c r="G1250" s="90">
        <v>0</v>
      </c>
      <c r="H1250" s="90">
        <v>0</v>
      </c>
      <c r="I1250" s="90">
        <v>0</v>
      </c>
      <c r="J1250" s="90">
        <v>0</v>
      </c>
      <c r="K1250" s="90">
        <v>0</v>
      </c>
      <c r="L1250" s="90">
        <v>0</v>
      </c>
      <c r="M1250" s="90">
        <v>0</v>
      </c>
    </row>
    <row r="1251">
      <c r="A1251" s="3" t="s">
        <v>550</v>
      </c>
      <c r="B1251" s="3"/>
      <c r="C1251" s="90">
        <v>0</v>
      </c>
      <c r="D1251" s="90">
        <v>0</v>
      </c>
      <c r="E1251" s="90">
        <v>0</v>
      </c>
      <c r="F1251" s="90">
        <v>0</v>
      </c>
      <c r="G1251" s="90">
        <v>0</v>
      </c>
      <c r="H1251" s="90">
        <v>0</v>
      </c>
      <c r="I1251" s="90">
        <v>0</v>
      </c>
      <c r="J1251" s="90">
        <v>0</v>
      </c>
      <c r="K1251" s="90">
        <v>0</v>
      </c>
      <c r="L1251" s="90">
        <v>0</v>
      </c>
      <c r="M1251" s="90">
        <v>0</v>
      </c>
    </row>
    <row r="1252">
      <c r="A1252" s="3" t="s">
        <v>551</v>
      </c>
      <c r="B1252" s="3"/>
      <c r="C1252" s="90">
        <v>0</v>
      </c>
      <c r="D1252" s="90">
        <v>0</v>
      </c>
      <c r="E1252" s="90"/>
      <c r="F1252" s="90">
        <v>0</v>
      </c>
      <c r="G1252" s="90"/>
      <c r="H1252" s="90">
        <v>0</v>
      </c>
      <c r="I1252" s="90"/>
      <c r="J1252" s="90"/>
      <c r="K1252" s="90"/>
      <c r="L1252" s="90"/>
      <c r="M1252" s="90">
        <v>0</v>
      </c>
    </row>
    <row r="1254">
      <c r="A1254" s="25" t="s">
        <v>160</v>
      </c>
      <c r="B1254" s="25"/>
      <c r="C1254" s="25"/>
      <c r="D1254" s="25"/>
      <c r="E1254" s="25"/>
      <c r="F1254" s="25"/>
      <c r="G1254" s="25"/>
      <c r="H1254" s="25"/>
      <c r="I1254" s="25"/>
      <c r="J1254" s="25"/>
      <c r="K1254" s="25"/>
      <c r="L1254" s="24"/>
      <c r="M1254" s="24"/>
    </row>
    <row r="1257">
      <c r="A1257" s="22" t="s">
        <v>363</v>
      </c>
      <c r="C1257" s="22" t="s">
        <v>502</v>
      </c>
      <c r="D1257" s="22"/>
      <c r="E1257" s="22"/>
      <c r="F1257" s="22"/>
      <c r="G1257" s="22"/>
      <c r="H1257" s="22"/>
      <c r="I1257" s="22"/>
      <c r="J1257" s="22"/>
      <c r="K1257" s="22"/>
      <c r="L1257" s="22"/>
      <c r="M1257" s="22"/>
    </row>
    <row r="1258">
      <c r="A1258" s="22"/>
      <c r="C1258" s="22">
        <v>2026</v>
      </c>
      <c r="D1258" s="22">
        <v>2027</v>
      </c>
      <c r="E1258" s="22">
        <v>2028</v>
      </c>
      <c r="F1258" s="22">
        <v>2029</v>
      </c>
      <c r="G1258" s="22">
        <v>2030</v>
      </c>
      <c r="H1258" s="22">
        <v>2031</v>
      </c>
      <c r="I1258" s="22">
        <v>2032</v>
      </c>
      <c r="J1258" s="22">
        <v>2033</v>
      </c>
      <c r="K1258" s="22">
        <v>2034</v>
      </c>
      <c r="L1258" s="22">
        <v>2035</v>
      </c>
      <c r="M1258" s="22">
        <v>2036</v>
      </c>
    </row>
    <row r="1259">
      <c r="A1259" s="3" t="s">
        <v>504</v>
      </c>
      <c r="B1259" s="3"/>
      <c r="C1259" s="82">
        <v>0</v>
      </c>
      <c r="D1259" s="82">
        <v>0</v>
      </c>
      <c r="E1259" s="82">
        <v>0</v>
      </c>
      <c r="F1259" s="82">
        <v>0</v>
      </c>
      <c r="G1259" s="82">
        <v>0</v>
      </c>
      <c r="H1259" s="82">
        <v>0</v>
      </c>
      <c r="I1259" s="82">
        <v>0</v>
      </c>
      <c r="J1259" s="82">
        <v>0</v>
      </c>
      <c r="K1259" s="82">
        <v>0</v>
      </c>
      <c r="L1259" s="82">
        <v>0</v>
      </c>
      <c r="M1259" s="82">
        <v>0</v>
      </c>
    </row>
    <row r="1260">
      <c r="A1260" s="3" t="s">
        <v>506</v>
      </c>
      <c r="B1260" s="3"/>
      <c r="C1260" s="83">
        <v>0</v>
      </c>
      <c r="D1260" s="83">
        <v>0</v>
      </c>
      <c r="E1260" s="83">
        <v>0</v>
      </c>
      <c r="F1260" s="83">
        <v>0</v>
      </c>
      <c r="G1260" s="83">
        <v>0</v>
      </c>
      <c r="H1260" s="83">
        <v>0</v>
      </c>
      <c r="I1260" s="83">
        <v>0</v>
      </c>
      <c r="J1260" s="83">
        <v>0</v>
      </c>
      <c r="K1260" s="83">
        <v>0</v>
      </c>
      <c r="L1260" s="83">
        <v>0</v>
      </c>
      <c r="M1260" s="83">
        <v>0</v>
      </c>
    </row>
    <row r="1261">
      <c r="A1261" s="3" t="s">
        <v>507</v>
      </c>
      <c r="B1261" s="3"/>
      <c r="C1261" s="83">
        <v>0</v>
      </c>
      <c r="D1261" s="83">
        <v>0</v>
      </c>
      <c r="E1261" s="83">
        <v>0</v>
      </c>
      <c r="F1261" s="83">
        <v>0</v>
      </c>
      <c r="G1261" s="83">
        <v>0</v>
      </c>
      <c r="H1261" s="83">
        <v>0</v>
      </c>
      <c r="I1261" s="83">
        <v>0</v>
      </c>
      <c r="J1261" s="83">
        <v>0</v>
      </c>
      <c r="K1261" s="83">
        <v>0</v>
      </c>
      <c r="L1261" s="83">
        <v>0</v>
      </c>
      <c r="M1261" s="83">
        <v>0</v>
      </c>
    </row>
    <row r="1262">
      <c r="A1262" s="3" t="s">
        <v>508</v>
      </c>
      <c r="B1262" s="3"/>
      <c r="C1262" s="83">
        <v>0</v>
      </c>
      <c r="D1262" s="83">
        <v>0</v>
      </c>
      <c r="E1262" s="83">
        <v>0</v>
      </c>
      <c r="F1262" s="83">
        <v>0</v>
      </c>
      <c r="G1262" s="83">
        <v>0</v>
      </c>
      <c r="H1262" s="83">
        <v>0</v>
      </c>
      <c r="I1262" s="83">
        <v>0</v>
      </c>
      <c r="J1262" s="83">
        <v>0</v>
      </c>
      <c r="K1262" s="83">
        <v>0</v>
      </c>
      <c r="L1262" s="83">
        <v>0</v>
      </c>
      <c r="M1262" s="83">
        <v>0</v>
      </c>
    </row>
    <row r="1263">
      <c r="A1263" s="3" t="s">
        <v>509</v>
      </c>
      <c r="B1263" s="3"/>
      <c r="C1263" s="83">
        <v>0</v>
      </c>
      <c r="D1263" s="83">
        <v>0</v>
      </c>
      <c r="E1263" s="83">
        <v>0</v>
      </c>
      <c r="F1263" s="83">
        <v>0</v>
      </c>
      <c r="G1263" s="83">
        <v>0</v>
      </c>
      <c r="H1263" s="83">
        <v>0</v>
      </c>
      <c r="I1263" s="83">
        <v>0</v>
      </c>
      <c r="J1263" s="83">
        <v>0</v>
      </c>
      <c r="K1263" s="83">
        <v>0</v>
      </c>
      <c r="L1263" s="83">
        <v>0</v>
      </c>
      <c r="M1263" s="83">
        <v>0</v>
      </c>
    </row>
    <row r="1264">
      <c r="A1264" s="3" t="s">
        <v>510</v>
      </c>
      <c r="B1264" s="3"/>
      <c r="C1264" s="83">
        <v>0</v>
      </c>
      <c r="D1264" s="83">
        <v>0</v>
      </c>
      <c r="E1264" s="83">
        <v>0</v>
      </c>
      <c r="F1264" s="83">
        <v>0</v>
      </c>
      <c r="G1264" s="83">
        <v>0</v>
      </c>
      <c r="H1264" s="83">
        <v>0</v>
      </c>
      <c r="I1264" s="83">
        <v>0</v>
      </c>
      <c r="J1264" s="83">
        <v>0</v>
      </c>
      <c r="K1264" s="83">
        <v>0</v>
      </c>
      <c r="L1264" s="83">
        <v>0</v>
      </c>
      <c r="M1264" s="83">
        <v>0</v>
      </c>
    </row>
    <row r="1268">
      <c r="A1268" s="22" t="s">
        <v>529</v>
      </c>
      <c r="C1268" s="22" t="s">
        <v>363</v>
      </c>
      <c r="D1268" s="22"/>
      <c r="E1268" s="22"/>
      <c r="F1268" s="22"/>
      <c r="G1268" s="22"/>
      <c r="H1268" s="22"/>
      <c r="I1268" s="22"/>
      <c r="J1268" s="22"/>
      <c r="K1268" s="22"/>
      <c r="L1268" s="22"/>
      <c r="M1268" s="22"/>
    </row>
    <row r="1269">
      <c r="A1269" s="22"/>
      <c r="B1269" s="3"/>
      <c r="C1269" s="22">
        <v>2026</v>
      </c>
      <c r="D1269" s="22">
        <v>2027</v>
      </c>
      <c r="E1269" s="22">
        <v>2028</v>
      </c>
      <c r="F1269" s="22">
        <v>2029</v>
      </c>
      <c r="G1269" s="22">
        <v>2030</v>
      </c>
      <c r="H1269" s="22">
        <v>2031</v>
      </c>
      <c r="I1269" s="22">
        <v>2032</v>
      </c>
      <c r="J1269" s="22">
        <v>2033</v>
      </c>
      <c r="K1269" s="22">
        <v>2034</v>
      </c>
      <c r="L1269" s="22">
        <v>2035</v>
      </c>
      <c r="M1269" s="22">
        <v>2036</v>
      </c>
      <c r="N1269" s="22" t="s">
        <v>530</v>
      </c>
    </row>
    <row r="1270">
      <c r="A1270" s="3" t="s">
        <v>117</v>
      </c>
      <c r="B1270" s="3"/>
      <c r="C1270" s="74">
        <v>0</v>
      </c>
      <c r="D1270" s="74">
        <v>0</v>
      </c>
      <c r="E1270" s="74">
        <v>0</v>
      </c>
      <c r="F1270" s="74">
        <v>0</v>
      </c>
      <c r="G1270" s="74">
        <v>0</v>
      </c>
      <c r="H1270" s="74">
        <v>0</v>
      </c>
      <c r="I1270" s="74">
        <v>0</v>
      </c>
      <c r="J1270" s="74">
        <v>0</v>
      </c>
      <c r="K1270" s="74">
        <v>0</v>
      </c>
      <c r="L1270" s="74">
        <v>0</v>
      </c>
      <c r="M1270" s="74">
        <v>0</v>
      </c>
      <c r="N1270" s="78">
        <f>Sum(C1270:M1270)</f>
        <v>0</v>
      </c>
      <c r="O1270" s="76" t="e">
        <f>(N1270/N1277)</f>
        <v>#DIV/0!</v>
      </c>
      <c r="P1270" s="0" t="s">
        <v>531</v>
      </c>
    </row>
    <row r="1271">
      <c r="A1271" s="3" t="s">
        <v>121</v>
      </c>
      <c r="B1271" s="3"/>
      <c r="C1271" s="74">
        <v>0</v>
      </c>
      <c r="D1271" s="74">
        <v>0</v>
      </c>
      <c r="E1271" s="74">
        <v>0</v>
      </c>
      <c r="F1271" s="74">
        <v>0</v>
      </c>
      <c r="G1271" s="74">
        <v>0</v>
      </c>
      <c r="H1271" s="74">
        <v>0</v>
      </c>
      <c r="I1271" s="74">
        <v>0</v>
      </c>
      <c r="J1271" s="74">
        <v>0</v>
      </c>
      <c r="K1271" s="74">
        <v>0</v>
      </c>
      <c r="L1271" s="74">
        <v>0</v>
      </c>
      <c r="M1271" s="74">
        <v>0</v>
      </c>
      <c r="N1271" s="78">
        <f>Sum(C1271:M1271)</f>
        <v>0</v>
      </c>
      <c r="O1271" s="76" t="e">
        <f>(N1271/N1277)</f>
        <v>#DIV/0!</v>
      </c>
      <c r="P1271" s="0" t="s">
        <v>532</v>
      </c>
    </row>
    <row r="1272">
      <c r="A1272" s="3" t="s">
        <v>122</v>
      </c>
      <c r="B1272" s="3"/>
      <c r="C1272" s="74">
        <v>0</v>
      </c>
      <c r="D1272" s="74">
        <v>0</v>
      </c>
      <c r="E1272" s="74">
        <v>0</v>
      </c>
      <c r="F1272" s="74">
        <v>0</v>
      </c>
      <c r="G1272" s="74">
        <v>0</v>
      </c>
      <c r="H1272" s="74">
        <v>0</v>
      </c>
      <c r="I1272" s="74">
        <v>0</v>
      </c>
      <c r="J1272" s="74">
        <v>0</v>
      </c>
      <c r="K1272" s="74">
        <v>0</v>
      </c>
      <c r="L1272" s="74">
        <v>0</v>
      </c>
      <c r="M1272" s="74">
        <v>0</v>
      </c>
      <c r="N1272" s="78">
        <f>Sum(C1272:M1272)</f>
        <v>0</v>
      </c>
      <c r="O1272" s="76" t="e">
        <f>(N1272/N1277)</f>
        <v>#DIV/0!</v>
      </c>
      <c r="P1272" s="0" t="s">
        <v>533</v>
      </c>
    </row>
    <row r="1273">
      <c r="A1273" s="3" t="s">
        <v>124</v>
      </c>
      <c r="B1273" s="3"/>
      <c r="C1273" s="74">
        <v>0</v>
      </c>
      <c r="D1273" s="74">
        <v>0</v>
      </c>
      <c r="E1273" s="74">
        <v>0</v>
      </c>
      <c r="F1273" s="74">
        <v>0</v>
      </c>
      <c r="G1273" s="74">
        <v>0</v>
      </c>
      <c r="H1273" s="74">
        <v>0</v>
      </c>
      <c r="I1273" s="74">
        <v>0</v>
      </c>
      <c r="J1273" s="74">
        <v>0</v>
      </c>
      <c r="K1273" s="74">
        <v>0</v>
      </c>
      <c r="L1273" s="74">
        <v>0</v>
      </c>
      <c r="M1273" s="74">
        <v>0</v>
      </c>
      <c r="N1273" s="78">
        <f>Sum(C1273:M1273)</f>
        <v>0</v>
      </c>
      <c r="O1273" s="76" t="e">
        <f>(N1273/N1277)</f>
        <v>#DIV/0!</v>
      </c>
      <c r="P1273" s="0" t="s">
        <v>534</v>
      </c>
    </row>
    <row r="1274">
      <c r="A1274" s="3" t="s">
        <v>535</v>
      </c>
      <c r="B1274" s="3"/>
      <c r="C1274" s="74">
        <v>0</v>
      </c>
      <c r="D1274" s="74">
        <v>0</v>
      </c>
      <c r="E1274" s="74">
        <v>0</v>
      </c>
      <c r="F1274" s="74">
        <v>0</v>
      </c>
      <c r="G1274" s="74">
        <v>0</v>
      </c>
      <c r="H1274" s="74">
        <v>0</v>
      </c>
      <c r="I1274" s="74">
        <v>0</v>
      </c>
      <c r="J1274" s="74">
        <v>0</v>
      </c>
      <c r="K1274" s="74">
        <v>0</v>
      </c>
      <c r="L1274" s="74">
        <v>0</v>
      </c>
      <c r="M1274" s="74">
        <v>0</v>
      </c>
      <c r="N1274" s="78">
        <f>Sum(C1274:M1274)</f>
        <v>0</v>
      </c>
      <c r="O1274" s="76" t="e">
        <f>(N1274/N1277)</f>
        <v>#DIV/0!</v>
      </c>
      <c r="P1274" s="0" t="s">
        <v>536</v>
      </c>
    </row>
    <row r="1275">
      <c r="A1275" s="3" t="s">
        <v>537</v>
      </c>
      <c r="B1275" s="3"/>
      <c r="C1275" s="74">
        <v>0</v>
      </c>
      <c r="D1275" s="74">
        <v>0</v>
      </c>
      <c r="E1275" s="74">
        <v>0</v>
      </c>
      <c r="F1275" s="74">
        <v>0</v>
      </c>
      <c r="G1275" s="74">
        <v>0</v>
      </c>
      <c r="H1275" s="74">
        <v>0</v>
      </c>
      <c r="I1275" s="74">
        <v>0</v>
      </c>
      <c r="J1275" s="74">
        <v>0</v>
      </c>
      <c r="K1275" s="74">
        <v>0</v>
      </c>
      <c r="L1275" s="74">
        <v>0</v>
      </c>
      <c r="M1275" s="74">
        <v>0</v>
      </c>
      <c r="N1275" s="78">
        <f>Sum(C1275:M1275)</f>
        <v>0</v>
      </c>
      <c r="O1275" s="76" t="e">
        <f>(N1275/N1277)</f>
        <v>#DIV/0!</v>
      </c>
      <c r="P1275" s="0" t="s">
        <v>538</v>
      </c>
    </row>
    <row r="1276">
      <c r="A1276" s="3" t="s">
        <v>539</v>
      </c>
      <c r="B1276" s="3"/>
      <c r="C1276" s="74">
        <v>0</v>
      </c>
      <c r="D1276" s="74">
        <v>0</v>
      </c>
      <c r="E1276" s="74">
        <v>0</v>
      </c>
      <c r="F1276" s="74">
        <v>0</v>
      </c>
      <c r="G1276" s="74">
        <v>0</v>
      </c>
      <c r="H1276" s="74">
        <v>0</v>
      </c>
      <c r="I1276" s="74">
        <v>0</v>
      </c>
      <c r="J1276" s="74">
        <v>0</v>
      </c>
      <c r="K1276" s="74">
        <v>0</v>
      </c>
      <c r="L1276" s="74">
        <v>0</v>
      </c>
      <c r="M1276" s="74">
        <v>0</v>
      </c>
      <c r="N1276" s="78">
        <f>Sum(C1276:M1276)</f>
        <v>0</v>
      </c>
      <c r="O1276" s="76" t="e">
        <f>(N1276/N1277)</f>
        <v>#DIV/0!</v>
      </c>
      <c r="P1276" s="0" t="s">
        <v>540</v>
      </c>
    </row>
    <row r="1277">
      <c r="A1277" s="3" t="s">
        <v>541</v>
      </c>
      <c r="B1277" s="3"/>
      <c r="C1277" s="74"/>
      <c r="D1277" s="74"/>
      <c r="E1277" s="74"/>
      <c r="F1277" s="74"/>
      <c r="G1277" s="74"/>
      <c r="H1277" s="74"/>
      <c r="I1277" s="74"/>
      <c r="J1277" s="74"/>
      <c r="K1277" s="74"/>
      <c r="L1277" s="74"/>
      <c r="M1277" s="74"/>
      <c r="N1277" s="78">
        <f>Sum(C1277:M1277)</f>
        <v>0</v>
      </c>
    </row>
    <row r="1278">
      <c r="A1278" s="3"/>
      <c r="B1278" s="3"/>
      <c r="C1278" s="74"/>
      <c r="D1278" s="74"/>
      <c r="E1278" s="74"/>
      <c r="F1278" s="74"/>
      <c r="G1278" s="74"/>
      <c r="H1278" s="74"/>
      <c r="I1278" s="74"/>
      <c r="J1278" s="74"/>
      <c r="K1278" s="74"/>
      <c r="L1278" s="74"/>
      <c r="M1278" s="74"/>
      <c r="N1278" s="78"/>
    </row>
    <row r="1279">
      <c r="A1279" s="3" t="s">
        <v>542</v>
      </c>
      <c r="B1279" s="3"/>
      <c r="C1279" s="74">
        <v>0</v>
      </c>
      <c r="D1279" s="74">
        <v>0</v>
      </c>
      <c r="E1279" s="74">
        <v>0</v>
      </c>
      <c r="F1279" s="74">
        <v>0</v>
      </c>
      <c r="G1279" s="74">
        <v>0</v>
      </c>
      <c r="H1279" s="74">
        <v>0</v>
      </c>
      <c r="I1279" s="74">
        <v>0</v>
      </c>
      <c r="J1279" s="74">
        <v>0</v>
      </c>
      <c r="K1279" s="74">
        <v>0</v>
      </c>
      <c r="L1279" s="74">
        <v>0</v>
      </c>
      <c r="M1279" s="74">
        <v>0</v>
      </c>
      <c r="N1279" s="78">
        <f>Sum(C1279:M1279)</f>
        <v>0</v>
      </c>
    </row>
    <row r="1281">
      <c r="A1281" s="22" t="s">
        <v>543</v>
      </c>
      <c r="C1281" s="22" t="s">
        <v>363</v>
      </c>
      <c r="D1281" s="22"/>
      <c r="E1281" s="22"/>
      <c r="F1281" s="22"/>
      <c r="G1281" s="22"/>
      <c r="H1281" s="22"/>
      <c r="I1281" s="22"/>
      <c r="J1281" s="22"/>
      <c r="K1281" s="22"/>
      <c r="L1281" s="22"/>
      <c r="M1281" s="22"/>
    </row>
    <row r="1282">
      <c r="A1282" s="22"/>
      <c r="C1282" s="22">
        <v>2026</v>
      </c>
      <c r="D1282" s="22">
        <v>2027</v>
      </c>
      <c r="E1282" s="22">
        <v>2028</v>
      </c>
      <c r="F1282" s="22">
        <v>2029</v>
      </c>
      <c r="G1282" s="22">
        <v>2030</v>
      </c>
      <c r="H1282" s="22">
        <v>2031</v>
      </c>
      <c r="I1282" s="22">
        <v>2032</v>
      </c>
      <c r="J1282" s="22">
        <v>2033</v>
      </c>
      <c r="K1282" s="22">
        <v>2034</v>
      </c>
      <c r="L1282" s="22">
        <v>2035</v>
      </c>
      <c r="M1282" s="22">
        <v>2036</v>
      </c>
    </row>
    <row r="1283">
      <c r="A1283" s="3"/>
      <c r="B1283" s="3"/>
      <c r="C1283" s="74"/>
      <c r="D1283" s="74"/>
      <c r="E1283" s="74"/>
      <c r="F1283" s="74"/>
      <c r="G1283" s="74"/>
      <c r="H1283" s="74"/>
      <c r="I1283" s="74"/>
      <c r="J1283" s="74"/>
      <c r="K1283" s="74"/>
      <c r="L1283" s="74"/>
      <c r="M1283" s="74"/>
      <c r="N1283" s="78">
        <f>Sum(C1283:M1283)</f>
        <v>0</v>
      </c>
    </row>
    <row r="1286">
      <c r="A1286" s="22" t="s">
        <v>473</v>
      </c>
      <c r="C1286" s="22" t="s">
        <v>544</v>
      </c>
      <c r="D1286" s="22"/>
      <c r="E1286" s="22"/>
      <c r="F1286" s="22"/>
      <c r="G1286" s="22"/>
      <c r="H1286" s="22"/>
      <c r="I1286" s="22"/>
      <c r="J1286" s="22"/>
      <c r="K1286" s="22"/>
      <c r="L1286" s="22"/>
      <c r="M1286" s="22"/>
    </row>
    <row r="1287">
      <c r="A1287" s="22"/>
      <c r="C1287" s="22">
        <v>2026</v>
      </c>
      <c r="D1287" s="22">
        <v>2027</v>
      </c>
      <c r="E1287" s="22">
        <v>2028</v>
      </c>
      <c r="F1287" s="22">
        <v>2029</v>
      </c>
      <c r="G1287" s="22">
        <v>2030</v>
      </c>
      <c r="H1287" s="22">
        <v>2031</v>
      </c>
      <c r="I1287" s="22">
        <v>2032</v>
      </c>
      <c r="J1287" s="22">
        <v>2033</v>
      </c>
      <c r="K1287" s="22">
        <v>2034</v>
      </c>
      <c r="L1287" s="22">
        <v>2035</v>
      </c>
      <c r="M1287" s="22">
        <v>2036</v>
      </c>
    </row>
    <row r="1288">
      <c r="A1288" s="3" t="s">
        <v>545</v>
      </c>
      <c r="B1288" s="3"/>
      <c r="C1288" s="90">
        <v>0</v>
      </c>
      <c r="D1288" s="90">
        <v>0</v>
      </c>
      <c r="E1288" s="90">
        <v>0</v>
      </c>
      <c r="F1288" s="90">
        <v>0</v>
      </c>
      <c r="G1288" s="90">
        <v>0</v>
      </c>
      <c r="H1288" s="90">
        <v>0</v>
      </c>
      <c r="I1288" s="90">
        <v>0</v>
      </c>
      <c r="J1288" s="90">
        <v>0</v>
      </c>
      <c r="K1288" s="90">
        <v>0</v>
      </c>
      <c r="L1288" s="90">
        <v>0</v>
      </c>
      <c r="M1288" s="90">
        <v>0</v>
      </c>
    </row>
    <row r="1289">
      <c r="A1289" s="3" t="s">
        <v>546</v>
      </c>
      <c r="B1289" s="3"/>
      <c r="C1289" s="90">
        <v>0</v>
      </c>
      <c r="D1289" s="90">
        <v>0</v>
      </c>
      <c r="E1289" s="90">
        <v>0</v>
      </c>
      <c r="F1289" s="90">
        <v>0</v>
      </c>
      <c r="G1289" s="90">
        <v>0</v>
      </c>
      <c r="H1289" s="90">
        <v>0</v>
      </c>
      <c r="I1289" s="90">
        <v>0</v>
      </c>
      <c r="J1289" s="90">
        <v>0</v>
      </c>
      <c r="K1289" s="90">
        <v>0</v>
      </c>
      <c r="L1289" s="90">
        <v>0</v>
      </c>
      <c r="M1289" s="90">
        <v>0</v>
      </c>
    </row>
    <row r="1290">
      <c r="A1290" s="3" t="s">
        <v>547</v>
      </c>
      <c r="B1290" s="3"/>
      <c r="C1290" s="90">
        <v>0</v>
      </c>
      <c r="D1290" s="90">
        <v>0</v>
      </c>
      <c r="E1290" s="90">
        <v>0</v>
      </c>
      <c r="F1290" s="90">
        <v>0</v>
      </c>
      <c r="G1290" s="90">
        <v>0</v>
      </c>
      <c r="H1290" s="90">
        <v>0</v>
      </c>
      <c r="I1290" s="90">
        <v>0</v>
      </c>
      <c r="J1290" s="90">
        <v>0</v>
      </c>
      <c r="K1290" s="90">
        <v>0</v>
      </c>
      <c r="L1290" s="90">
        <v>0</v>
      </c>
      <c r="M1290" s="90">
        <v>0</v>
      </c>
    </row>
    <row r="1291">
      <c r="A1291" s="3" t="s">
        <v>548</v>
      </c>
      <c r="B1291" s="3"/>
      <c r="C1291" s="90">
        <v>0</v>
      </c>
      <c r="D1291" s="90">
        <v>0</v>
      </c>
      <c r="E1291" s="90">
        <v>0</v>
      </c>
      <c r="F1291" s="90">
        <v>0</v>
      </c>
      <c r="G1291" s="90">
        <v>0</v>
      </c>
      <c r="H1291" s="90">
        <v>0</v>
      </c>
      <c r="I1291" s="90">
        <v>0</v>
      </c>
      <c r="J1291" s="90">
        <v>0</v>
      </c>
      <c r="K1291" s="90">
        <v>0</v>
      </c>
      <c r="L1291" s="90">
        <v>0</v>
      </c>
      <c r="M1291" s="90">
        <v>0</v>
      </c>
    </row>
    <row r="1292">
      <c r="A1292" s="3" t="s">
        <v>549</v>
      </c>
      <c r="B1292" s="3"/>
      <c r="C1292" s="90">
        <v>0</v>
      </c>
      <c r="D1292" s="90">
        <v>0</v>
      </c>
      <c r="E1292" s="90">
        <v>0</v>
      </c>
      <c r="F1292" s="90">
        <v>0</v>
      </c>
      <c r="G1292" s="90">
        <v>0</v>
      </c>
      <c r="H1292" s="90">
        <v>0</v>
      </c>
      <c r="I1292" s="90">
        <v>0</v>
      </c>
      <c r="J1292" s="90">
        <v>0</v>
      </c>
      <c r="K1292" s="90">
        <v>0</v>
      </c>
      <c r="L1292" s="90">
        <v>0</v>
      </c>
      <c r="M1292" s="90">
        <v>0</v>
      </c>
    </row>
    <row r="1293">
      <c r="A1293" s="3" t="s">
        <v>550</v>
      </c>
      <c r="B1293" s="3"/>
      <c r="C1293" s="90">
        <v>0</v>
      </c>
      <c r="D1293" s="90">
        <v>0</v>
      </c>
      <c r="E1293" s="90">
        <v>0</v>
      </c>
      <c r="F1293" s="90">
        <v>0</v>
      </c>
      <c r="G1293" s="90">
        <v>0</v>
      </c>
      <c r="H1293" s="90">
        <v>0</v>
      </c>
      <c r="I1293" s="90">
        <v>0</v>
      </c>
      <c r="J1293" s="90">
        <v>0</v>
      </c>
      <c r="K1293" s="90">
        <v>0</v>
      </c>
      <c r="L1293" s="90">
        <v>0</v>
      </c>
      <c r="M1293" s="90">
        <v>0</v>
      </c>
    </row>
    <row r="1294">
      <c r="A1294" s="3" t="s">
        <v>551</v>
      </c>
      <c r="B1294" s="3"/>
      <c r="C1294" s="90">
        <v>0</v>
      </c>
      <c r="D1294" s="90">
        <v>0</v>
      </c>
      <c r="E1294" s="90"/>
      <c r="F1294" s="90">
        <v>0</v>
      </c>
      <c r="G1294" s="90"/>
      <c r="H1294" s="90">
        <v>0</v>
      </c>
      <c r="I1294" s="90"/>
      <c r="J1294" s="90"/>
      <c r="K1294" s="90"/>
      <c r="L1294" s="90"/>
      <c r="M1294" s="90">
        <v>0</v>
      </c>
    </row>
    <row r="1296">
      <c r="A1296" s="25" t="s">
        <v>161</v>
      </c>
      <c r="B1296" s="25"/>
      <c r="C1296" s="25"/>
      <c r="D1296" s="25"/>
      <c r="E1296" s="25"/>
      <c r="F1296" s="25"/>
      <c r="G1296" s="25"/>
      <c r="H1296" s="25"/>
      <c r="I1296" s="25"/>
      <c r="J1296" s="25"/>
      <c r="K1296" s="25"/>
      <c r="L1296" s="24"/>
      <c r="M1296" s="24"/>
    </row>
    <row r="1299">
      <c r="A1299" s="22" t="s">
        <v>363</v>
      </c>
      <c r="C1299" s="22" t="s">
        <v>502</v>
      </c>
      <c r="D1299" s="22"/>
      <c r="E1299" s="22"/>
      <c r="F1299" s="22"/>
      <c r="G1299" s="22"/>
      <c r="H1299" s="22"/>
      <c r="I1299" s="22"/>
      <c r="J1299" s="22"/>
      <c r="K1299" s="22"/>
      <c r="L1299" s="22"/>
      <c r="M1299" s="22"/>
    </row>
    <row r="1300">
      <c r="A1300" s="22"/>
      <c r="C1300" s="22">
        <v>2026</v>
      </c>
      <c r="D1300" s="22">
        <v>2027</v>
      </c>
      <c r="E1300" s="22">
        <v>2028</v>
      </c>
      <c r="F1300" s="22">
        <v>2029</v>
      </c>
      <c r="G1300" s="22">
        <v>2030</v>
      </c>
      <c r="H1300" s="22">
        <v>2031</v>
      </c>
      <c r="I1300" s="22">
        <v>2032</v>
      </c>
      <c r="J1300" s="22">
        <v>2033</v>
      </c>
      <c r="K1300" s="22">
        <v>2034</v>
      </c>
      <c r="L1300" s="22">
        <v>2035</v>
      </c>
      <c r="M1300" s="22">
        <v>2036</v>
      </c>
    </row>
    <row r="1301">
      <c r="A1301" s="3" t="s">
        <v>504</v>
      </c>
      <c r="B1301" s="3"/>
      <c r="C1301" s="82">
        <v>0</v>
      </c>
      <c r="D1301" s="82">
        <v>0</v>
      </c>
      <c r="E1301" s="82">
        <v>0</v>
      </c>
      <c r="F1301" s="82">
        <v>0</v>
      </c>
      <c r="G1301" s="82">
        <v>0</v>
      </c>
      <c r="H1301" s="82">
        <v>0</v>
      </c>
      <c r="I1301" s="82">
        <v>0</v>
      </c>
      <c r="J1301" s="82">
        <v>0</v>
      </c>
      <c r="K1301" s="82">
        <v>0</v>
      </c>
      <c r="L1301" s="82">
        <v>0</v>
      </c>
      <c r="M1301" s="82">
        <v>0</v>
      </c>
    </row>
    <row r="1302">
      <c r="A1302" s="3" t="s">
        <v>506</v>
      </c>
      <c r="B1302" s="3"/>
      <c r="C1302" s="83">
        <v>0</v>
      </c>
      <c r="D1302" s="83">
        <v>0</v>
      </c>
      <c r="E1302" s="83">
        <v>0</v>
      </c>
      <c r="F1302" s="83">
        <v>0</v>
      </c>
      <c r="G1302" s="83">
        <v>0</v>
      </c>
      <c r="H1302" s="83">
        <v>0</v>
      </c>
      <c r="I1302" s="83">
        <v>0</v>
      </c>
      <c r="J1302" s="83">
        <v>0</v>
      </c>
      <c r="K1302" s="83">
        <v>0</v>
      </c>
      <c r="L1302" s="83">
        <v>0</v>
      </c>
      <c r="M1302" s="83">
        <v>0</v>
      </c>
    </row>
    <row r="1303">
      <c r="A1303" s="3" t="s">
        <v>507</v>
      </c>
      <c r="B1303" s="3"/>
      <c r="C1303" s="83">
        <v>0</v>
      </c>
      <c r="D1303" s="83">
        <v>0</v>
      </c>
      <c r="E1303" s="83">
        <v>0</v>
      </c>
      <c r="F1303" s="83">
        <v>0</v>
      </c>
      <c r="G1303" s="83">
        <v>0</v>
      </c>
      <c r="H1303" s="83">
        <v>0</v>
      </c>
      <c r="I1303" s="83">
        <v>0</v>
      </c>
      <c r="J1303" s="83">
        <v>0</v>
      </c>
      <c r="K1303" s="83">
        <v>0</v>
      </c>
      <c r="L1303" s="83">
        <v>0</v>
      </c>
      <c r="M1303" s="83">
        <v>0</v>
      </c>
    </row>
    <row r="1304">
      <c r="A1304" s="3" t="s">
        <v>508</v>
      </c>
      <c r="B1304" s="3"/>
      <c r="C1304" s="83">
        <v>0</v>
      </c>
      <c r="D1304" s="83">
        <v>0</v>
      </c>
      <c r="E1304" s="83">
        <v>0</v>
      </c>
      <c r="F1304" s="83">
        <v>0</v>
      </c>
      <c r="G1304" s="83">
        <v>0</v>
      </c>
      <c r="H1304" s="83">
        <v>0</v>
      </c>
      <c r="I1304" s="83">
        <v>0</v>
      </c>
      <c r="J1304" s="83">
        <v>0</v>
      </c>
      <c r="K1304" s="83">
        <v>0</v>
      </c>
      <c r="L1304" s="83">
        <v>0</v>
      </c>
      <c r="M1304" s="83">
        <v>0</v>
      </c>
    </row>
    <row r="1305">
      <c r="A1305" s="3" t="s">
        <v>509</v>
      </c>
      <c r="B1305" s="3"/>
      <c r="C1305" s="83">
        <v>0</v>
      </c>
      <c r="D1305" s="83">
        <v>0</v>
      </c>
      <c r="E1305" s="83">
        <v>0</v>
      </c>
      <c r="F1305" s="83">
        <v>0</v>
      </c>
      <c r="G1305" s="83">
        <v>0</v>
      </c>
      <c r="H1305" s="83">
        <v>0</v>
      </c>
      <c r="I1305" s="83">
        <v>0</v>
      </c>
      <c r="J1305" s="83">
        <v>0</v>
      </c>
      <c r="K1305" s="83">
        <v>0</v>
      </c>
      <c r="L1305" s="83">
        <v>0</v>
      </c>
      <c r="M1305" s="83">
        <v>0</v>
      </c>
    </row>
    <row r="1306">
      <c r="A1306" s="3" t="s">
        <v>510</v>
      </c>
      <c r="B1306" s="3"/>
      <c r="C1306" s="83">
        <v>0</v>
      </c>
      <c r="D1306" s="83">
        <v>0</v>
      </c>
      <c r="E1306" s="83">
        <v>0</v>
      </c>
      <c r="F1306" s="83">
        <v>0</v>
      </c>
      <c r="G1306" s="83">
        <v>0</v>
      </c>
      <c r="H1306" s="83">
        <v>0</v>
      </c>
      <c r="I1306" s="83">
        <v>0</v>
      </c>
      <c r="J1306" s="83">
        <v>0</v>
      </c>
      <c r="K1306" s="83">
        <v>0</v>
      </c>
      <c r="L1306" s="83">
        <v>0</v>
      </c>
      <c r="M1306" s="83">
        <v>0</v>
      </c>
    </row>
    <row r="1310">
      <c r="A1310" s="22" t="s">
        <v>529</v>
      </c>
      <c r="C1310" s="22" t="s">
        <v>363</v>
      </c>
      <c r="D1310" s="22"/>
      <c r="E1310" s="22"/>
      <c r="F1310" s="22"/>
      <c r="G1310" s="22"/>
      <c r="H1310" s="22"/>
      <c r="I1310" s="22"/>
      <c r="J1310" s="22"/>
      <c r="K1310" s="22"/>
      <c r="L1310" s="22"/>
      <c r="M1310" s="22"/>
    </row>
    <row r="1311">
      <c r="A1311" s="22"/>
      <c r="B1311" s="3"/>
      <c r="C1311" s="22">
        <v>2026</v>
      </c>
      <c r="D1311" s="22">
        <v>2027</v>
      </c>
      <c r="E1311" s="22">
        <v>2028</v>
      </c>
      <c r="F1311" s="22">
        <v>2029</v>
      </c>
      <c r="G1311" s="22">
        <v>2030</v>
      </c>
      <c r="H1311" s="22">
        <v>2031</v>
      </c>
      <c r="I1311" s="22">
        <v>2032</v>
      </c>
      <c r="J1311" s="22">
        <v>2033</v>
      </c>
      <c r="K1311" s="22">
        <v>2034</v>
      </c>
      <c r="L1311" s="22">
        <v>2035</v>
      </c>
      <c r="M1311" s="22">
        <v>2036</v>
      </c>
      <c r="N1311" s="22" t="s">
        <v>530</v>
      </c>
    </row>
    <row r="1312">
      <c r="A1312" s="3" t="s">
        <v>117</v>
      </c>
      <c r="B1312" s="3"/>
      <c r="C1312" s="74">
        <v>0</v>
      </c>
      <c r="D1312" s="74">
        <v>0</v>
      </c>
      <c r="E1312" s="74">
        <v>0</v>
      </c>
      <c r="F1312" s="74">
        <v>0</v>
      </c>
      <c r="G1312" s="74">
        <v>0</v>
      </c>
      <c r="H1312" s="74">
        <v>0</v>
      </c>
      <c r="I1312" s="74">
        <v>0</v>
      </c>
      <c r="J1312" s="74">
        <v>0</v>
      </c>
      <c r="K1312" s="74">
        <v>0</v>
      </c>
      <c r="L1312" s="74">
        <v>0</v>
      </c>
      <c r="M1312" s="74">
        <v>0</v>
      </c>
      <c r="N1312" s="78">
        <f>Sum(C1312:M1312)</f>
        <v>0</v>
      </c>
      <c r="O1312" s="76" t="e">
        <f>(N1312/N1319)</f>
        <v>#DIV/0!</v>
      </c>
      <c r="P1312" s="0" t="s">
        <v>531</v>
      </c>
    </row>
    <row r="1313">
      <c r="A1313" s="3" t="s">
        <v>121</v>
      </c>
      <c r="B1313" s="3"/>
      <c r="C1313" s="74">
        <v>0</v>
      </c>
      <c r="D1313" s="74">
        <v>0</v>
      </c>
      <c r="E1313" s="74">
        <v>0</v>
      </c>
      <c r="F1313" s="74">
        <v>0</v>
      </c>
      <c r="G1313" s="74">
        <v>0</v>
      </c>
      <c r="H1313" s="74">
        <v>0</v>
      </c>
      <c r="I1313" s="74">
        <v>0</v>
      </c>
      <c r="J1313" s="74">
        <v>0</v>
      </c>
      <c r="K1313" s="74">
        <v>0</v>
      </c>
      <c r="L1313" s="74">
        <v>0</v>
      </c>
      <c r="M1313" s="74">
        <v>0</v>
      </c>
      <c r="N1313" s="78">
        <f>Sum(C1313:M1313)</f>
        <v>0</v>
      </c>
      <c r="O1313" s="76" t="e">
        <f>(N1313/N1319)</f>
        <v>#DIV/0!</v>
      </c>
      <c r="P1313" s="0" t="s">
        <v>532</v>
      </c>
    </row>
    <row r="1314">
      <c r="A1314" s="3" t="s">
        <v>122</v>
      </c>
      <c r="B1314" s="3"/>
      <c r="C1314" s="74">
        <v>0</v>
      </c>
      <c r="D1314" s="74">
        <v>0</v>
      </c>
      <c r="E1314" s="74">
        <v>0</v>
      </c>
      <c r="F1314" s="74">
        <v>0</v>
      </c>
      <c r="G1314" s="74">
        <v>0</v>
      </c>
      <c r="H1314" s="74">
        <v>0</v>
      </c>
      <c r="I1314" s="74">
        <v>0</v>
      </c>
      <c r="J1314" s="74">
        <v>0</v>
      </c>
      <c r="K1314" s="74">
        <v>0</v>
      </c>
      <c r="L1314" s="74">
        <v>0</v>
      </c>
      <c r="M1314" s="74">
        <v>0</v>
      </c>
      <c r="N1314" s="78">
        <f>Sum(C1314:M1314)</f>
        <v>0</v>
      </c>
      <c r="O1314" s="76" t="e">
        <f>(N1314/N1319)</f>
        <v>#DIV/0!</v>
      </c>
      <c r="P1314" s="0" t="s">
        <v>533</v>
      </c>
    </row>
    <row r="1315">
      <c r="A1315" s="3" t="s">
        <v>124</v>
      </c>
      <c r="B1315" s="3"/>
      <c r="C1315" s="74">
        <v>0</v>
      </c>
      <c r="D1315" s="74">
        <v>0</v>
      </c>
      <c r="E1315" s="74">
        <v>0</v>
      </c>
      <c r="F1315" s="74">
        <v>0</v>
      </c>
      <c r="G1315" s="74">
        <v>0</v>
      </c>
      <c r="H1315" s="74">
        <v>0</v>
      </c>
      <c r="I1315" s="74">
        <v>0</v>
      </c>
      <c r="J1315" s="74">
        <v>0</v>
      </c>
      <c r="K1315" s="74">
        <v>0</v>
      </c>
      <c r="L1315" s="74">
        <v>0</v>
      </c>
      <c r="M1315" s="74">
        <v>0</v>
      </c>
      <c r="N1315" s="78">
        <f>Sum(C1315:M1315)</f>
        <v>0</v>
      </c>
      <c r="O1315" s="76" t="e">
        <f>(N1315/N1319)</f>
        <v>#DIV/0!</v>
      </c>
      <c r="P1315" s="0" t="s">
        <v>534</v>
      </c>
    </row>
    <row r="1316">
      <c r="A1316" s="3" t="s">
        <v>535</v>
      </c>
      <c r="B1316" s="3"/>
      <c r="C1316" s="74">
        <v>0</v>
      </c>
      <c r="D1316" s="74">
        <v>0</v>
      </c>
      <c r="E1316" s="74">
        <v>0</v>
      </c>
      <c r="F1316" s="74">
        <v>0</v>
      </c>
      <c r="G1316" s="74">
        <v>0</v>
      </c>
      <c r="H1316" s="74">
        <v>0</v>
      </c>
      <c r="I1316" s="74">
        <v>0</v>
      </c>
      <c r="J1316" s="74">
        <v>0</v>
      </c>
      <c r="K1316" s="74">
        <v>0</v>
      </c>
      <c r="L1316" s="74">
        <v>0</v>
      </c>
      <c r="M1316" s="74">
        <v>0</v>
      </c>
      <c r="N1316" s="78">
        <f>Sum(C1316:M1316)</f>
        <v>0</v>
      </c>
      <c r="O1316" s="76" t="e">
        <f>(N1316/N1319)</f>
        <v>#DIV/0!</v>
      </c>
      <c r="P1316" s="0" t="s">
        <v>536</v>
      </c>
    </row>
    <row r="1317">
      <c r="A1317" s="3" t="s">
        <v>537</v>
      </c>
      <c r="B1317" s="3"/>
      <c r="C1317" s="74">
        <v>0</v>
      </c>
      <c r="D1317" s="74">
        <v>0</v>
      </c>
      <c r="E1317" s="74">
        <v>0</v>
      </c>
      <c r="F1317" s="74">
        <v>0</v>
      </c>
      <c r="G1317" s="74">
        <v>0</v>
      </c>
      <c r="H1317" s="74">
        <v>0</v>
      </c>
      <c r="I1317" s="74">
        <v>0</v>
      </c>
      <c r="J1317" s="74">
        <v>0</v>
      </c>
      <c r="K1317" s="74">
        <v>0</v>
      </c>
      <c r="L1317" s="74">
        <v>0</v>
      </c>
      <c r="M1317" s="74">
        <v>0</v>
      </c>
      <c r="N1317" s="78">
        <f>Sum(C1317:M1317)</f>
        <v>0</v>
      </c>
      <c r="O1317" s="76" t="e">
        <f>(N1317/N1319)</f>
        <v>#DIV/0!</v>
      </c>
      <c r="P1317" s="0" t="s">
        <v>538</v>
      </c>
    </row>
    <row r="1318">
      <c r="A1318" s="3" t="s">
        <v>539</v>
      </c>
      <c r="B1318" s="3"/>
      <c r="C1318" s="74">
        <v>0</v>
      </c>
      <c r="D1318" s="74">
        <v>0</v>
      </c>
      <c r="E1318" s="74">
        <v>0</v>
      </c>
      <c r="F1318" s="74">
        <v>0</v>
      </c>
      <c r="G1318" s="74">
        <v>0</v>
      </c>
      <c r="H1318" s="74">
        <v>0</v>
      </c>
      <c r="I1318" s="74">
        <v>0</v>
      </c>
      <c r="J1318" s="74">
        <v>0</v>
      </c>
      <c r="K1318" s="74">
        <v>0</v>
      </c>
      <c r="L1318" s="74">
        <v>0</v>
      </c>
      <c r="M1318" s="74">
        <v>0</v>
      </c>
      <c r="N1318" s="78">
        <f>Sum(C1318:M1318)</f>
        <v>0</v>
      </c>
      <c r="O1318" s="76" t="e">
        <f>(N1318/N1319)</f>
        <v>#DIV/0!</v>
      </c>
      <c r="P1318" s="0" t="s">
        <v>540</v>
      </c>
    </row>
    <row r="1319">
      <c r="A1319" s="3" t="s">
        <v>541</v>
      </c>
      <c r="B1319" s="3"/>
      <c r="C1319" s="74"/>
      <c r="D1319" s="74"/>
      <c r="E1319" s="74"/>
      <c r="F1319" s="74"/>
      <c r="G1319" s="74"/>
      <c r="H1319" s="74"/>
      <c r="I1319" s="74"/>
      <c r="J1319" s="74"/>
      <c r="K1319" s="74"/>
      <c r="L1319" s="74"/>
      <c r="M1319" s="74"/>
      <c r="N1319" s="78">
        <f>Sum(C1319:M1319)</f>
        <v>0</v>
      </c>
    </row>
    <row r="1320">
      <c r="A1320" s="3"/>
      <c r="B1320" s="3"/>
      <c r="C1320" s="74"/>
      <c r="D1320" s="74"/>
      <c r="E1320" s="74"/>
      <c r="F1320" s="74"/>
      <c r="G1320" s="74"/>
      <c r="H1320" s="74"/>
      <c r="I1320" s="74"/>
      <c r="J1320" s="74"/>
      <c r="K1320" s="74"/>
      <c r="L1320" s="74"/>
      <c r="M1320" s="74"/>
      <c r="N1320" s="78"/>
    </row>
    <row r="1321">
      <c r="A1321" s="3" t="s">
        <v>542</v>
      </c>
      <c r="B1321" s="3"/>
      <c r="C1321" s="74">
        <v>0</v>
      </c>
      <c r="D1321" s="74">
        <v>0</v>
      </c>
      <c r="E1321" s="74">
        <v>0</v>
      </c>
      <c r="F1321" s="74">
        <v>0</v>
      </c>
      <c r="G1321" s="74">
        <v>0</v>
      </c>
      <c r="H1321" s="74">
        <v>0</v>
      </c>
      <c r="I1321" s="74">
        <v>0</v>
      </c>
      <c r="J1321" s="74">
        <v>0</v>
      </c>
      <c r="K1321" s="74">
        <v>0</v>
      </c>
      <c r="L1321" s="74">
        <v>0</v>
      </c>
      <c r="M1321" s="74">
        <v>0</v>
      </c>
      <c r="N1321" s="78">
        <f>Sum(C1321:M1321)</f>
        <v>0</v>
      </c>
    </row>
    <row r="1323">
      <c r="A1323" s="22" t="s">
        <v>543</v>
      </c>
      <c r="C1323" s="22" t="s">
        <v>363</v>
      </c>
      <c r="D1323" s="22"/>
      <c r="E1323" s="22"/>
      <c r="F1323" s="22"/>
      <c r="G1323" s="22"/>
      <c r="H1323" s="22"/>
      <c r="I1323" s="22"/>
      <c r="J1323" s="22"/>
      <c r="K1323" s="22"/>
      <c r="L1323" s="22"/>
      <c r="M1323" s="22"/>
    </row>
    <row r="1324">
      <c r="A1324" s="22"/>
      <c r="C1324" s="22">
        <v>2026</v>
      </c>
      <c r="D1324" s="22">
        <v>2027</v>
      </c>
      <c r="E1324" s="22">
        <v>2028</v>
      </c>
      <c r="F1324" s="22">
        <v>2029</v>
      </c>
      <c r="G1324" s="22">
        <v>2030</v>
      </c>
      <c r="H1324" s="22">
        <v>2031</v>
      </c>
      <c r="I1324" s="22">
        <v>2032</v>
      </c>
      <c r="J1324" s="22">
        <v>2033</v>
      </c>
      <c r="K1324" s="22">
        <v>2034</v>
      </c>
      <c r="L1324" s="22">
        <v>2035</v>
      </c>
      <c r="M1324" s="22">
        <v>2036</v>
      </c>
    </row>
    <row r="1325">
      <c r="A1325" s="3"/>
      <c r="B1325" s="3"/>
      <c r="C1325" s="74"/>
      <c r="D1325" s="74"/>
      <c r="E1325" s="74"/>
      <c r="F1325" s="74"/>
      <c r="G1325" s="74"/>
      <c r="H1325" s="74"/>
      <c r="I1325" s="74"/>
      <c r="J1325" s="74"/>
      <c r="K1325" s="74"/>
      <c r="L1325" s="74"/>
      <c r="M1325" s="74"/>
      <c r="N1325" s="78">
        <f>Sum(C1325:M1325)</f>
        <v>0</v>
      </c>
    </row>
    <row r="1328">
      <c r="A1328" s="22" t="s">
        <v>473</v>
      </c>
      <c r="C1328" s="22" t="s">
        <v>544</v>
      </c>
      <c r="D1328" s="22"/>
      <c r="E1328" s="22"/>
      <c r="F1328" s="22"/>
      <c r="G1328" s="22"/>
      <c r="H1328" s="22"/>
      <c r="I1328" s="22"/>
      <c r="J1328" s="22"/>
      <c r="K1328" s="22"/>
      <c r="L1328" s="22"/>
      <c r="M1328" s="22"/>
    </row>
    <row r="1329">
      <c r="A1329" s="22"/>
      <c r="C1329" s="22">
        <v>2026</v>
      </c>
      <c r="D1329" s="22">
        <v>2027</v>
      </c>
      <c r="E1329" s="22">
        <v>2028</v>
      </c>
      <c r="F1329" s="22">
        <v>2029</v>
      </c>
      <c r="G1329" s="22">
        <v>2030</v>
      </c>
      <c r="H1329" s="22">
        <v>2031</v>
      </c>
      <c r="I1329" s="22">
        <v>2032</v>
      </c>
      <c r="J1329" s="22">
        <v>2033</v>
      </c>
      <c r="K1329" s="22">
        <v>2034</v>
      </c>
      <c r="L1329" s="22">
        <v>2035</v>
      </c>
      <c r="M1329" s="22">
        <v>2036</v>
      </c>
    </row>
    <row r="1330">
      <c r="A1330" s="3" t="s">
        <v>545</v>
      </c>
      <c r="B1330" s="3"/>
      <c r="C1330" s="90">
        <v>0</v>
      </c>
      <c r="D1330" s="90">
        <v>0</v>
      </c>
      <c r="E1330" s="90">
        <v>0</v>
      </c>
      <c r="F1330" s="90">
        <v>0</v>
      </c>
      <c r="G1330" s="90">
        <v>0</v>
      </c>
      <c r="H1330" s="90">
        <v>0</v>
      </c>
      <c r="I1330" s="90">
        <v>0</v>
      </c>
      <c r="J1330" s="90">
        <v>0</v>
      </c>
      <c r="K1330" s="90">
        <v>0</v>
      </c>
      <c r="L1330" s="90">
        <v>0</v>
      </c>
      <c r="M1330" s="90">
        <v>0</v>
      </c>
    </row>
    <row r="1331">
      <c r="A1331" s="3" t="s">
        <v>546</v>
      </c>
      <c r="B1331" s="3"/>
      <c r="C1331" s="90">
        <v>0</v>
      </c>
      <c r="D1331" s="90">
        <v>0</v>
      </c>
      <c r="E1331" s="90">
        <v>0</v>
      </c>
      <c r="F1331" s="90">
        <v>0</v>
      </c>
      <c r="G1331" s="90">
        <v>0</v>
      </c>
      <c r="H1331" s="90">
        <v>0</v>
      </c>
      <c r="I1331" s="90">
        <v>0</v>
      </c>
      <c r="J1331" s="90">
        <v>0</v>
      </c>
      <c r="K1331" s="90">
        <v>0</v>
      </c>
      <c r="L1331" s="90">
        <v>0</v>
      </c>
      <c r="M1331" s="90">
        <v>0</v>
      </c>
    </row>
    <row r="1332">
      <c r="A1332" s="3" t="s">
        <v>547</v>
      </c>
      <c r="B1332" s="3"/>
      <c r="C1332" s="90">
        <v>0</v>
      </c>
      <c r="D1332" s="90">
        <v>0</v>
      </c>
      <c r="E1332" s="90">
        <v>0</v>
      </c>
      <c r="F1332" s="90">
        <v>0</v>
      </c>
      <c r="G1332" s="90">
        <v>0</v>
      </c>
      <c r="H1332" s="90">
        <v>0</v>
      </c>
      <c r="I1332" s="90">
        <v>0</v>
      </c>
      <c r="J1332" s="90">
        <v>0</v>
      </c>
      <c r="K1332" s="90">
        <v>0</v>
      </c>
      <c r="L1332" s="90">
        <v>0</v>
      </c>
      <c r="M1332" s="90">
        <v>0</v>
      </c>
    </row>
    <row r="1333">
      <c r="A1333" s="3" t="s">
        <v>548</v>
      </c>
      <c r="B1333" s="3"/>
      <c r="C1333" s="90">
        <v>0</v>
      </c>
      <c r="D1333" s="90">
        <v>0</v>
      </c>
      <c r="E1333" s="90">
        <v>0</v>
      </c>
      <c r="F1333" s="90">
        <v>0</v>
      </c>
      <c r="G1333" s="90">
        <v>0</v>
      </c>
      <c r="H1333" s="90">
        <v>0</v>
      </c>
      <c r="I1333" s="90">
        <v>0</v>
      </c>
      <c r="J1333" s="90">
        <v>0</v>
      </c>
      <c r="K1333" s="90">
        <v>0</v>
      </c>
      <c r="L1333" s="90">
        <v>0</v>
      </c>
      <c r="M1333" s="90">
        <v>0</v>
      </c>
    </row>
    <row r="1334">
      <c r="A1334" s="3" t="s">
        <v>549</v>
      </c>
      <c r="B1334" s="3"/>
      <c r="C1334" s="90">
        <v>0</v>
      </c>
      <c r="D1334" s="90">
        <v>0</v>
      </c>
      <c r="E1334" s="90">
        <v>0</v>
      </c>
      <c r="F1334" s="90">
        <v>0</v>
      </c>
      <c r="G1334" s="90">
        <v>0</v>
      </c>
      <c r="H1334" s="90">
        <v>0</v>
      </c>
      <c r="I1334" s="90">
        <v>0</v>
      </c>
      <c r="J1334" s="90">
        <v>0</v>
      </c>
      <c r="K1334" s="90">
        <v>0</v>
      </c>
      <c r="L1334" s="90">
        <v>0</v>
      </c>
      <c r="M1334" s="90">
        <v>0</v>
      </c>
    </row>
    <row r="1335">
      <c r="A1335" s="3" t="s">
        <v>550</v>
      </c>
      <c r="B1335" s="3"/>
      <c r="C1335" s="90">
        <v>0</v>
      </c>
      <c r="D1335" s="90">
        <v>0</v>
      </c>
      <c r="E1335" s="90">
        <v>0</v>
      </c>
      <c r="F1335" s="90">
        <v>0</v>
      </c>
      <c r="G1335" s="90">
        <v>0</v>
      </c>
      <c r="H1335" s="90">
        <v>0</v>
      </c>
      <c r="I1335" s="90">
        <v>0</v>
      </c>
      <c r="J1335" s="90">
        <v>0</v>
      </c>
      <c r="K1335" s="90">
        <v>0</v>
      </c>
      <c r="L1335" s="90">
        <v>0</v>
      </c>
      <c r="M1335" s="90">
        <v>0</v>
      </c>
    </row>
    <row r="1336">
      <c r="A1336" s="3" t="s">
        <v>551</v>
      </c>
      <c r="B1336" s="3"/>
      <c r="C1336" s="90">
        <v>0</v>
      </c>
      <c r="D1336" s="90">
        <v>0</v>
      </c>
      <c r="E1336" s="90"/>
      <c r="F1336" s="90">
        <v>0</v>
      </c>
      <c r="G1336" s="90"/>
      <c r="H1336" s="90">
        <v>0</v>
      </c>
      <c r="I1336" s="90"/>
      <c r="J1336" s="90"/>
      <c r="K1336" s="90"/>
      <c r="L1336" s="90"/>
      <c r="M1336" s="90">
        <v>0</v>
      </c>
    </row>
    <row r="1338">
      <c r="A1338" s="25" t="s">
        <v>162</v>
      </c>
      <c r="B1338" s="25"/>
      <c r="C1338" s="25"/>
      <c r="D1338" s="25"/>
      <c r="E1338" s="25"/>
      <c r="F1338" s="25"/>
      <c r="G1338" s="25"/>
      <c r="H1338" s="25"/>
      <c r="I1338" s="25"/>
      <c r="J1338" s="25"/>
      <c r="K1338" s="25"/>
      <c r="L1338" s="24"/>
      <c r="M1338" s="24"/>
    </row>
    <row r="1341">
      <c r="A1341" s="22" t="s">
        <v>363</v>
      </c>
      <c r="C1341" s="22" t="s">
        <v>502</v>
      </c>
      <c r="D1341" s="22"/>
      <c r="E1341" s="22"/>
      <c r="F1341" s="22"/>
      <c r="G1341" s="22"/>
      <c r="H1341" s="22"/>
      <c r="I1341" s="22"/>
      <c r="J1341" s="22"/>
      <c r="K1341" s="22"/>
      <c r="L1341" s="22"/>
      <c r="M1341" s="22"/>
    </row>
    <row r="1342">
      <c r="A1342" s="22"/>
      <c r="C1342" s="22">
        <v>2026</v>
      </c>
      <c r="D1342" s="22">
        <v>2027</v>
      </c>
      <c r="E1342" s="22">
        <v>2028</v>
      </c>
      <c r="F1342" s="22">
        <v>2029</v>
      </c>
      <c r="G1342" s="22">
        <v>2030</v>
      </c>
      <c r="H1342" s="22">
        <v>2031</v>
      </c>
      <c r="I1342" s="22">
        <v>2032</v>
      </c>
      <c r="J1342" s="22">
        <v>2033</v>
      </c>
      <c r="K1342" s="22">
        <v>2034</v>
      </c>
      <c r="L1342" s="22">
        <v>2035</v>
      </c>
      <c r="M1342" s="22">
        <v>2036</v>
      </c>
    </row>
    <row r="1343">
      <c r="A1343" s="3" t="s">
        <v>504</v>
      </c>
      <c r="B1343" s="3"/>
      <c r="C1343" s="82">
        <v>0</v>
      </c>
      <c r="D1343" s="82">
        <v>0</v>
      </c>
      <c r="E1343" s="82">
        <v>0</v>
      </c>
      <c r="F1343" s="82">
        <v>0</v>
      </c>
      <c r="G1343" s="82">
        <v>0</v>
      </c>
      <c r="H1343" s="82">
        <v>0</v>
      </c>
      <c r="I1343" s="82">
        <v>0</v>
      </c>
      <c r="J1343" s="82">
        <v>0</v>
      </c>
      <c r="K1343" s="82">
        <v>0</v>
      </c>
      <c r="L1343" s="82">
        <v>0</v>
      </c>
      <c r="M1343" s="82">
        <v>0</v>
      </c>
    </row>
    <row r="1344">
      <c r="A1344" s="3" t="s">
        <v>506</v>
      </c>
      <c r="B1344" s="3"/>
      <c r="C1344" s="83">
        <v>0</v>
      </c>
      <c r="D1344" s="83">
        <v>0</v>
      </c>
      <c r="E1344" s="83">
        <v>0</v>
      </c>
      <c r="F1344" s="83">
        <v>0</v>
      </c>
      <c r="G1344" s="83">
        <v>0</v>
      </c>
      <c r="H1344" s="83">
        <v>0</v>
      </c>
      <c r="I1344" s="83">
        <v>0</v>
      </c>
      <c r="J1344" s="83">
        <v>0</v>
      </c>
      <c r="K1344" s="83">
        <v>0</v>
      </c>
      <c r="L1344" s="83">
        <v>0</v>
      </c>
      <c r="M1344" s="83">
        <v>0</v>
      </c>
    </row>
    <row r="1345">
      <c r="A1345" s="3" t="s">
        <v>507</v>
      </c>
      <c r="B1345" s="3"/>
      <c r="C1345" s="83">
        <v>0</v>
      </c>
      <c r="D1345" s="83">
        <v>0</v>
      </c>
      <c r="E1345" s="83">
        <v>0</v>
      </c>
      <c r="F1345" s="83">
        <v>0</v>
      </c>
      <c r="G1345" s="83">
        <v>0</v>
      </c>
      <c r="H1345" s="83">
        <v>0</v>
      </c>
      <c r="I1345" s="83">
        <v>0</v>
      </c>
      <c r="J1345" s="83">
        <v>0</v>
      </c>
      <c r="K1345" s="83">
        <v>0</v>
      </c>
      <c r="L1345" s="83">
        <v>0</v>
      </c>
      <c r="M1345" s="83">
        <v>0</v>
      </c>
    </row>
    <row r="1346">
      <c r="A1346" s="3" t="s">
        <v>508</v>
      </c>
      <c r="B1346" s="3"/>
      <c r="C1346" s="83">
        <v>0</v>
      </c>
      <c r="D1346" s="83">
        <v>0</v>
      </c>
      <c r="E1346" s="83">
        <v>0</v>
      </c>
      <c r="F1346" s="83">
        <v>0</v>
      </c>
      <c r="G1346" s="83">
        <v>0</v>
      </c>
      <c r="H1346" s="83">
        <v>0</v>
      </c>
      <c r="I1346" s="83">
        <v>0</v>
      </c>
      <c r="J1346" s="83">
        <v>0</v>
      </c>
      <c r="K1346" s="83">
        <v>0</v>
      </c>
      <c r="L1346" s="83">
        <v>0</v>
      </c>
      <c r="M1346" s="83">
        <v>0</v>
      </c>
    </row>
    <row r="1347">
      <c r="A1347" s="3" t="s">
        <v>509</v>
      </c>
      <c r="B1347" s="3"/>
      <c r="C1347" s="83">
        <v>0</v>
      </c>
      <c r="D1347" s="83">
        <v>0</v>
      </c>
      <c r="E1347" s="83">
        <v>0</v>
      </c>
      <c r="F1347" s="83">
        <v>0</v>
      </c>
      <c r="G1347" s="83">
        <v>0</v>
      </c>
      <c r="H1347" s="83">
        <v>0</v>
      </c>
      <c r="I1347" s="83">
        <v>0</v>
      </c>
      <c r="J1347" s="83">
        <v>0</v>
      </c>
      <c r="K1347" s="83">
        <v>0</v>
      </c>
      <c r="L1347" s="83">
        <v>0</v>
      </c>
      <c r="M1347" s="83">
        <v>0</v>
      </c>
    </row>
    <row r="1348">
      <c r="A1348" s="3" t="s">
        <v>510</v>
      </c>
      <c r="B1348" s="3"/>
      <c r="C1348" s="83">
        <v>0</v>
      </c>
      <c r="D1348" s="83">
        <v>0</v>
      </c>
      <c r="E1348" s="83">
        <v>0</v>
      </c>
      <c r="F1348" s="83">
        <v>0</v>
      </c>
      <c r="G1348" s="83">
        <v>0</v>
      </c>
      <c r="H1348" s="83">
        <v>0</v>
      </c>
      <c r="I1348" s="83">
        <v>0</v>
      </c>
      <c r="J1348" s="83">
        <v>0</v>
      </c>
      <c r="K1348" s="83">
        <v>0</v>
      </c>
      <c r="L1348" s="83">
        <v>0</v>
      </c>
      <c r="M1348" s="83">
        <v>0</v>
      </c>
    </row>
    <row r="1352">
      <c r="A1352" s="22" t="s">
        <v>529</v>
      </c>
      <c r="C1352" s="22" t="s">
        <v>363</v>
      </c>
      <c r="D1352" s="22"/>
      <c r="E1352" s="22"/>
      <c r="F1352" s="22"/>
      <c r="G1352" s="22"/>
      <c r="H1352" s="22"/>
      <c r="I1352" s="22"/>
      <c r="J1352" s="22"/>
      <c r="K1352" s="22"/>
      <c r="L1352" s="22"/>
      <c r="M1352" s="22"/>
    </row>
    <row r="1353">
      <c r="A1353" s="22"/>
      <c r="B1353" s="3"/>
      <c r="C1353" s="22">
        <v>2026</v>
      </c>
      <c r="D1353" s="22">
        <v>2027</v>
      </c>
      <c r="E1353" s="22">
        <v>2028</v>
      </c>
      <c r="F1353" s="22">
        <v>2029</v>
      </c>
      <c r="G1353" s="22">
        <v>2030</v>
      </c>
      <c r="H1353" s="22">
        <v>2031</v>
      </c>
      <c r="I1353" s="22">
        <v>2032</v>
      </c>
      <c r="J1353" s="22">
        <v>2033</v>
      </c>
      <c r="K1353" s="22">
        <v>2034</v>
      </c>
      <c r="L1353" s="22">
        <v>2035</v>
      </c>
      <c r="M1353" s="22">
        <v>2036</v>
      </c>
      <c r="N1353" s="22" t="s">
        <v>530</v>
      </c>
    </row>
    <row r="1354">
      <c r="A1354" s="3" t="s">
        <v>117</v>
      </c>
      <c r="B1354" s="3"/>
      <c r="C1354" s="74">
        <v>0</v>
      </c>
      <c r="D1354" s="74">
        <v>0</v>
      </c>
      <c r="E1354" s="74">
        <v>0</v>
      </c>
      <c r="F1354" s="74">
        <v>0</v>
      </c>
      <c r="G1354" s="74">
        <v>0</v>
      </c>
      <c r="H1354" s="74">
        <v>0</v>
      </c>
      <c r="I1354" s="74">
        <v>0</v>
      </c>
      <c r="J1354" s="74">
        <v>0</v>
      </c>
      <c r="K1354" s="74">
        <v>0</v>
      </c>
      <c r="L1354" s="74">
        <v>0</v>
      </c>
      <c r="M1354" s="74">
        <v>0</v>
      </c>
      <c r="N1354" s="78">
        <f>Sum(C1354:M1354)</f>
        <v>0</v>
      </c>
      <c r="O1354" s="76" t="e">
        <f>(N1354/N1361)</f>
        <v>#DIV/0!</v>
      </c>
      <c r="P1354" s="0" t="s">
        <v>531</v>
      </c>
    </row>
    <row r="1355">
      <c r="A1355" s="3" t="s">
        <v>121</v>
      </c>
      <c r="B1355" s="3"/>
      <c r="C1355" s="74">
        <v>0</v>
      </c>
      <c r="D1355" s="74">
        <v>0</v>
      </c>
      <c r="E1355" s="74">
        <v>0</v>
      </c>
      <c r="F1355" s="74">
        <v>0</v>
      </c>
      <c r="G1355" s="74">
        <v>0</v>
      </c>
      <c r="H1355" s="74">
        <v>0</v>
      </c>
      <c r="I1355" s="74">
        <v>0</v>
      </c>
      <c r="J1355" s="74">
        <v>0</v>
      </c>
      <c r="K1355" s="74">
        <v>0</v>
      </c>
      <c r="L1355" s="74">
        <v>0</v>
      </c>
      <c r="M1355" s="74">
        <v>0</v>
      </c>
      <c r="N1355" s="78">
        <f>Sum(C1355:M1355)</f>
        <v>0</v>
      </c>
      <c r="O1355" s="76" t="e">
        <f>(N1355/N1361)</f>
        <v>#DIV/0!</v>
      </c>
      <c r="P1355" s="0" t="s">
        <v>532</v>
      </c>
    </row>
    <row r="1356">
      <c r="A1356" s="3" t="s">
        <v>122</v>
      </c>
      <c r="B1356" s="3"/>
      <c r="C1356" s="74">
        <v>0</v>
      </c>
      <c r="D1356" s="74">
        <v>0</v>
      </c>
      <c r="E1356" s="74">
        <v>0</v>
      </c>
      <c r="F1356" s="74">
        <v>0</v>
      </c>
      <c r="G1356" s="74">
        <v>0</v>
      </c>
      <c r="H1356" s="74">
        <v>0</v>
      </c>
      <c r="I1356" s="74">
        <v>0</v>
      </c>
      <c r="J1356" s="74">
        <v>0</v>
      </c>
      <c r="K1356" s="74">
        <v>0</v>
      </c>
      <c r="L1356" s="74">
        <v>0</v>
      </c>
      <c r="M1356" s="74">
        <v>0</v>
      </c>
      <c r="N1356" s="78">
        <f>Sum(C1356:M1356)</f>
        <v>0</v>
      </c>
      <c r="O1356" s="76" t="e">
        <f>(N1356/N1361)</f>
        <v>#DIV/0!</v>
      </c>
      <c r="P1356" s="0" t="s">
        <v>533</v>
      </c>
    </row>
    <row r="1357">
      <c r="A1357" s="3" t="s">
        <v>124</v>
      </c>
      <c r="B1357" s="3"/>
      <c r="C1357" s="74">
        <v>0</v>
      </c>
      <c r="D1357" s="74">
        <v>0</v>
      </c>
      <c r="E1357" s="74">
        <v>0</v>
      </c>
      <c r="F1357" s="74">
        <v>0</v>
      </c>
      <c r="G1357" s="74">
        <v>0</v>
      </c>
      <c r="H1357" s="74">
        <v>0</v>
      </c>
      <c r="I1357" s="74">
        <v>0</v>
      </c>
      <c r="J1357" s="74">
        <v>0</v>
      </c>
      <c r="K1357" s="74">
        <v>0</v>
      </c>
      <c r="L1357" s="74">
        <v>0</v>
      </c>
      <c r="M1357" s="74">
        <v>0</v>
      </c>
      <c r="N1357" s="78">
        <f>Sum(C1357:M1357)</f>
        <v>0</v>
      </c>
      <c r="O1357" s="76" t="e">
        <f>(N1357/N1361)</f>
        <v>#DIV/0!</v>
      </c>
      <c r="P1357" s="0" t="s">
        <v>534</v>
      </c>
    </row>
    <row r="1358">
      <c r="A1358" s="3" t="s">
        <v>535</v>
      </c>
      <c r="B1358" s="3"/>
      <c r="C1358" s="74">
        <v>0</v>
      </c>
      <c r="D1358" s="74">
        <v>0</v>
      </c>
      <c r="E1358" s="74">
        <v>0</v>
      </c>
      <c r="F1358" s="74">
        <v>0</v>
      </c>
      <c r="G1358" s="74">
        <v>0</v>
      </c>
      <c r="H1358" s="74">
        <v>0</v>
      </c>
      <c r="I1358" s="74">
        <v>0</v>
      </c>
      <c r="J1358" s="74">
        <v>0</v>
      </c>
      <c r="K1358" s="74">
        <v>0</v>
      </c>
      <c r="L1358" s="74">
        <v>0</v>
      </c>
      <c r="M1358" s="74">
        <v>0</v>
      </c>
      <c r="N1358" s="78">
        <f>Sum(C1358:M1358)</f>
        <v>0</v>
      </c>
      <c r="O1358" s="76" t="e">
        <f>(N1358/N1361)</f>
        <v>#DIV/0!</v>
      </c>
      <c r="P1358" s="0" t="s">
        <v>536</v>
      </c>
    </row>
    <row r="1359">
      <c r="A1359" s="3" t="s">
        <v>537</v>
      </c>
      <c r="B1359" s="3"/>
      <c r="C1359" s="74">
        <v>0</v>
      </c>
      <c r="D1359" s="74">
        <v>0</v>
      </c>
      <c r="E1359" s="74">
        <v>0</v>
      </c>
      <c r="F1359" s="74">
        <v>0</v>
      </c>
      <c r="G1359" s="74">
        <v>0</v>
      </c>
      <c r="H1359" s="74">
        <v>0</v>
      </c>
      <c r="I1359" s="74">
        <v>0</v>
      </c>
      <c r="J1359" s="74">
        <v>0</v>
      </c>
      <c r="K1359" s="74">
        <v>0</v>
      </c>
      <c r="L1359" s="74">
        <v>0</v>
      </c>
      <c r="M1359" s="74">
        <v>0</v>
      </c>
      <c r="N1359" s="78">
        <f>Sum(C1359:M1359)</f>
        <v>0</v>
      </c>
      <c r="O1359" s="76" t="e">
        <f>(N1359/N1361)</f>
        <v>#DIV/0!</v>
      </c>
      <c r="P1359" s="0" t="s">
        <v>538</v>
      </c>
    </row>
    <row r="1360">
      <c r="A1360" s="3" t="s">
        <v>539</v>
      </c>
      <c r="B1360" s="3"/>
      <c r="C1360" s="74">
        <v>0</v>
      </c>
      <c r="D1360" s="74">
        <v>0</v>
      </c>
      <c r="E1360" s="74">
        <v>0</v>
      </c>
      <c r="F1360" s="74">
        <v>0</v>
      </c>
      <c r="G1360" s="74">
        <v>0</v>
      </c>
      <c r="H1360" s="74">
        <v>0</v>
      </c>
      <c r="I1360" s="74">
        <v>0</v>
      </c>
      <c r="J1360" s="74">
        <v>0</v>
      </c>
      <c r="K1360" s="74">
        <v>0</v>
      </c>
      <c r="L1360" s="74">
        <v>0</v>
      </c>
      <c r="M1360" s="74">
        <v>0</v>
      </c>
      <c r="N1360" s="78">
        <f>Sum(C1360:M1360)</f>
        <v>0</v>
      </c>
      <c r="O1360" s="76" t="e">
        <f>(N1360/N1361)</f>
        <v>#DIV/0!</v>
      </c>
      <c r="P1360" s="0" t="s">
        <v>540</v>
      </c>
    </row>
    <row r="1361">
      <c r="A1361" s="3" t="s">
        <v>541</v>
      </c>
      <c r="B1361" s="3"/>
      <c r="C1361" s="74"/>
      <c r="D1361" s="74"/>
      <c r="E1361" s="74"/>
      <c r="F1361" s="74"/>
      <c r="G1361" s="74"/>
      <c r="H1361" s="74"/>
      <c r="I1361" s="74"/>
      <c r="J1361" s="74"/>
      <c r="K1361" s="74"/>
      <c r="L1361" s="74"/>
      <c r="M1361" s="74"/>
      <c r="N1361" s="78">
        <f>Sum(C1361:M1361)</f>
        <v>0</v>
      </c>
    </row>
    <row r="1362">
      <c r="A1362" s="3"/>
      <c r="B1362" s="3"/>
      <c r="C1362" s="74"/>
      <c r="D1362" s="74"/>
      <c r="E1362" s="74"/>
      <c r="F1362" s="74"/>
      <c r="G1362" s="74"/>
      <c r="H1362" s="74"/>
      <c r="I1362" s="74"/>
      <c r="J1362" s="74"/>
      <c r="K1362" s="74"/>
      <c r="L1362" s="74"/>
      <c r="M1362" s="74"/>
      <c r="N1362" s="78"/>
    </row>
    <row r="1363">
      <c r="A1363" s="3" t="s">
        <v>542</v>
      </c>
      <c r="B1363" s="3"/>
      <c r="C1363" s="74">
        <v>0</v>
      </c>
      <c r="D1363" s="74">
        <v>0</v>
      </c>
      <c r="E1363" s="74">
        <v>0</v>
      </c>
      <c r="F1363" s="74">
        <v>0</v>
      </c>
      <c r="G1363" s="74">
        <v>0</v>
      </c>
      <c r="H1363" s="74">
        <v>0</v>
      </c>
      <c r="I1363" s="74">
        <v>0</v>
      </c>
      <c r="J1363" s="74">
        <v>0</v>
      </c>
      <c r="K1363" s="74">
        <v>0</v>
      </c>
      <c r="L1363" s="74">
        <v>0</v>
      </c>
      <c r="M1363" s="74">
        <v>0</v>
      </c>
      <c r="N1363" s="78">
        <f>Sum(C1363:M1363)</f>
        <v>0</v>
      </c>
    </row>
    <row r="1365">
      <c r="A1365" s="22" t="s">
        <v>543</v>
      </c>
      <c r="C1365" s="22" t="s">
        <v>363</v>
      </c>
      <c r="D1365" s="22"/>
      <c r="E1365" s="22"/>
      <c r="F1365" s="22"/>
      <c r="G1365" s="22"/>
      <c r="H1365" s="22"/>
      <c r="I1365" s="22"/>
      <c r="J1365" s="22"/>
      <c r="K1365" s="22"/>
      <c r="L1365" s="22"/>
      <c r="M1365" s="22"/>
    </row>
    <row r="1366">
      <c r="A1366" s="22"/>
      <c r="C1366" s="22">
        <v>2026</v>
      </c>
      <c r="D1366" s="22">
        <v>2027</v>
      </c>
      <c r="E1366" s="22">
        <v>2028</v>
      </c>
      <c r="F1366" s="22">
        <v>2029</v>
      </c>
      <c r="G1366" s="22">
        <v>2030</v>
      </c>
      <c r="H1366" s="22">
        <v>2031</v>
      </c>
      <c r="I1366" s="22">
        <v>2032</v>
      </c>
      <c r="J1366" s="22">
        <v>2033</v>
      </c>
      <c r="K1366" s="22">
        <v>2034</v>
      </c>
      <c r="L1366" s="22">
        <v>2035</v>
      </c>
      <c r="M1366" s="22">
        <v>2036</v>
      </c>
    </row>
    <row r="1367">
      <c r="A1367" s="3"/>
      <c r="B1367" s="3"/>
      <c r="C1367" s="74"/>
      <c r="D1367" s="74"/>
      <c r="E1367" s="74"/>
      <c r="F1367" s="74"/>
      <c r="G1367" s="74"/>
      <c r="H1367" s="74"/>
      <c r="I1367" s="74"/>
      <c r="J1367" s="74"/>
      <c r="K1367" s="74"/>
      <c r="L1367" s="74"/>
      <c r="M1367" s="74"/>
      <c r="N1367" s="78">
        <f>Sum(C1367:M1367)</f>
        <v>0</v>
      </c>
    </row>
    <row r="1370">
      <c r="A1370" s="22" t="s">
        <v>473</v>
      </c>
      <c r="C1370" s="22" t="s">
        <v>544</v>
      </c>
      <c r="D1370" s="22"/>
      <c r="E1370" s="22"/>
      <c r="F1370" s="22"/>
      <c r="G1370" s="22"/>
      <c r="H1370" s="22"/>
      <c r="I1370" s="22"/>
      <c r="J1370" s="22"/>
      <c r="K1370" s="22"/>
      <c r="L1370" s="22"/>
      <c r="M1370" s="22"/>
    </row>
    <row r="1371">
      <c r="A1371" s="22"/>
      <c r="C1371" s="22">
        <v>2026</v>
      </c>
      <c r="D1371" s="22">
        <v>2027</v>
      </c>
      <c r="E1371" s="22">
        <v>2028</v>
      </c>
      <c r="F1371" s="22">
        <v>2029</v>
      </c>
      <c r="G1371" s="22">
        <v>2030</v>
      </c>
      <c r="H1371" s="22">
        <v>2031</v>
      </c>
      <c r="I1371" s="22">
        <v>2032</v>
      </c>
      <c r="J1371" s="22">
        <v>2033</v>
      </c>
      <c r="K1371" s="22">
        <v>2034</v>
      </c>
      <c r="L1371" s="22">
        <v>2035</v>
      </c>
      <c r="M1371" s="22">
        <v>2036</v>
      </c>
    </row>
    <row r="1372">
      <c r="A1372" s="3" t="s">
        <v>545</v>
      </c>
      <c r="B1372" s="3"/>
      <c r="C1372" s="90">
        <v>0</v>
      </c>
      <c r="D1372" s="90">
        <v>0</v>
      </c>
      <c r="E1372" s="90">
        <v>0</v>
      </c>
      <c r="F1372" s="90">
        <v>0</v>
      </c>
      <c r="G1372" s="90">
        <v>0</v>
      </c>
      <c r="H1372" s="90">
        <v>0</v>
      </c>
      <c r="I1372" s="90">
        <v>0</v>
      </c>
      <c r="J1372" s="90">
        <v>0</v>
      </c>
      <c r="K1372" s="90">
        <v>0</v>
      </c>
      <c r="L1372" s="90">
        <v>0</v>
      </c>
      <c r="M1372" s="90">
        <v>0</v>
      </c>
    </row>
    <row r="1373">
      <c r="A1373" s="3" t="s">
        <v>546</v>
      </c>
      <c r="B1373" s="3"/>
      <c r="C1373" s="90">
        <v>0</v>
      </c>
      <c r="D1373" s="90">
        <v>0</v>
      </c>
      <c r="E1373" s="90">
        <v>0</v>
      </c>
      <c r="F1373" s="90">
        <v>0</v>
      </c>
      <c r="G1373" s="90">
        <v>0</v>
      </c>
      <c r="H1373" s="90">
        <v>0</v>
      </c>
      <c r="I1373" s="90">
        <v>0</v>
      </c>
      <c r="J1373" s="90">
        <v>0</v>
      </c>
      <c r="K1373" s="90">
        <v>0</v>
      </c>
      <c r="L1373" s="90">
        <v>0</v>
      </c>
      <c r="M1373" s="90">
        <v>0</v>
      </c>
    </row>
    <row r="1374">
      <c r="A1374" s="3" t="s">
        <v>547</v>
      </c>
      <c r="B1374" s="3"/>
      <c r="C1374" s="90">
        <v>0</v>
      </c>
      <c r="D1374" s="90">
        <v>0</v>
      </c>
      <c r="E1374" s="90">
        <v>0</v>
      </c>
      <c r="F1374" s="90">
        <v>0</v>
      </c>
      <c r="G1374" s="90">
        <v>0</v>
      </c>
      <c r="H1374" s="90">
        <v>0</v>
      </c>
      <c r="I1374" s="90">
        <v>0</v>
      </c>
      <c r="J1374" s="90">
        <v>0</v>
      </c>
      <c r="K1374" s="90">
        <v>0</v>
      </c>
      <c r="L1374" s="90">
        <v>0</v>
      </c>
      <c r="M1374" s="90">
        <v>0</v>
      </c>
    </row>
    <row r="1375">
      <c r="A1375" s="3" t="s">
        <v>548</v>
      </c>
      <c r="B1375" s="3"/>
      <c r="C1375" s="90">
        <v>0</v>
      </c>
      <c r="D1375" s="90">
        <v>0</v>
      </c>
      <c r="E1375" s="90">
        <v>0</v>
      </c>
      <c r="F1375" s="90">
        <v>0</v>
      </c>
      <c r="G1375" s="90">
        <v>0</v>
      </c>
      <c r="H1375" s="90">
        <v>0</v>
      </c>
      <c r="I1375" s="90">
        <v>0</v>
      </c>
      <c r="J1375" s="90">
        <v>0</v>
      </c>
      <c r="K1375" s="90">
        <v>0</v>
      </c>
      <c r="L1375" s="90">
        <v>0</v>
      </c>
      <c r="M1375" s="90">
        <v>0</v>
      </c>
    </row>
    <row r="1376">
      <c r="A1376" s="3" t="s">
        <v>549</v>
      </c>
      <c r="B1376" s="3"/>
      <c r="C1376" s="90">
        <v>0</v>
      </c>
      <c r="D1376" s="90">
        <v>0</v>
      </c>
      <c r="E1376" s="90">
        <v>0</v>
      </c>
      <c r="F1376" s="90">
        <v>0</v>
      </c>
      <c r="G1376" s="90">
        <v>0</v>
      </c>
      <c r="H1376" s="90">
        <v>0</v>
      </c>
      <c r="I1376" s="90">
        <v>0</v>
      </c>
      <c r="J1376" s="90">
        <v>0</v>
      </c>
      <c r="K1376" s="90">
        <v>0</v>
      </c>
      <c r="L1376" s="90">
        <v>0</v>
      </c>
      <c r="M1376" s="90">
        <v>0</v>
      </c>
    </row>
    <row r="1377">
      <c r="A1377" s="3" t="s">
        <v>550</v>
      </c>
      <c r="B1377" s="3"/>
      <c r="C1377" s="90">
        <v>0</v>
      </c>
      <c r="D1377" s="90">
        <v>0</v>
      </c>
      <c r="E1377" s="90">
        <v>0</v>
      </c>
      <c r="F1377" s="90">
        <v>0</v>
      </c>
      <c r="G1377" s="90">
        <v>0</v>
      </c>
      <c r="H1377" s="90">
        <v>0</v>
      </c>
      <c r="I1377" s="90">
        <v>0</v>
      </c>
      <c r="J1377" s="90">
        <v>0</v>
      </c>
      <c r="K1377" s="90">
        <v>0</v>
      </c>
      <c r="L1377" s="90">
        <v>0</v>
      </c>
      <c r="M1377" s="90">
        <v>0</v>
      </c>
    </row>
    <row r="1378">
      <c r="A1378" s="3" t="s">
        <v>551</v>
      </c>
      <c r="B1378" s="3"/>
      <c r="C1378" s="90">
        <v>0</v>
      </c>
      <c r="D1378" s="90">
        <v>0</v>
      </c>
      <c r="E1378" s="90"/>
      <c r="F1378" s="90">
        <v>0</v>
      </c>
      <c r="G1378" s="90"/>
      <c r="H1378" s="90">
        <v>0</v>
      </c>
      <c r="I1378" s="90"/>
      <c r="J1378" s="90"/>
      <c r="K1378" s="90"/>
      <c r="L1378" s="90"/>
      <c r="M1378" s="90">
        <v>0</v>
      </c>
    </row>
    <row r="1380">
      <c r="A1380" s="25" t="s">
        <v>163</v>
      </c>
      <c r="B1380" s="25"/>
      <c r="C1380" s="25"/>
      <c r="D1380" s="25"/>
      <c r="E1380" s="25"/>
      <c r="F1380" s="25"/>
      <c r="G1380" s="25"/>
      <c r="H1380" s="25"/>
      <c r="I1380" s="25"/>
      <c r="J1380" s="25"/>
      <c r="K1380" s="25"/>
      <c r="L1380" s="24"/>
      <c r="M1380" s="24"/>
    </row>
    <row r="1383">
      <c r="A1383" s="22" t="s">
        <v>363</v>
      </c>
      <c r="C1383" s="22" t="s">
        <v>502</v>
      </c>
      <c r="D1383" s="22"/>
      <c r="E1383" s="22"/>
      <c r="F1383" s="22"/>
      <c r="G1383" s="22"/>
      <c r="H1383" s="22"/>
      <c r="I1383" s="22"/>
      <c r="J1383" s="22"/>
      <c r="K1383" s="22"/>
      <c r="L1383" s="22"/>
      <c r="M1383" s="22"/>
    </row>
    <row r="1384">
      <c r="A1384" s="22"/>
      <c r="C1384" s="22">
        <v>2026</v>
      </c>
      <c r="D1384" s="22">
        <v>2027</v>
      </c>
      <c r="E1384" s="22">
        <v>2028</v>
      </c>
      <c r="F1384" s="22">
        <v>2029</v>
      </c>
      <c r="G1384" s="22">
        <v>2030</v>
      </c>
      <c r="H1384" s="22">
        <v>2031</v>
      </c>
      <c r="I1384" s="22">
        <v>2032</v>
      </c>
      <c r="J1384" s="22">
        <v>2033</v>
      </c>
      <c r="K1384" s="22">
        <v>2034</v>
      </c>
      <c r="L1384" s="22">
        <v>2035</v>
      </c>
      <c r="M1384" s="22">
        <v>2036</v>
      </c>
    </row>
    <row r="1385">
      <c r="A1385" s="3" t="s">
        <v>504</v>
      </c>
      <c r="B1385" s="3"/>
      <c r="C1385" s="82">
        <v>0</v>
      </c>
      <c r="D1385" s="82">
        <v>0</v>
      </c>
      <c r="E1385" s="82">
        <v>0</v>
      </c>
      <c r="F1385" s="82">
        <v>0</v>
      </c>
      <c r="G1385" s="82">
        <v>0</v>
      </c>
      <c r="H1385" s="82">
        <v>0</v>
      </c>
      <c r="I1385" s="82">
        <v>0</v>
      </c>
      <c r="J1385" s="82">
        <v>0</v>
      </c>
      <c r="K1385" s="82">
        <v>0</v>
      </c>
      <c r="L1385" s="82">
        <v>0</v>
      </c>
      <c r="M1385" s="82">
        <v>0</v>
      </c>
    </row>
    <row r="1386">
      <c r="A1386" s="3" t="s">
        <v>506</v>
      </c>
      <c r="B1386" s="3"/>
      <c r="C1386" s="83">
        <v>0</v>
      </c>
      <c r="D1386" s="83">
        <v>0</v>
      </c>
      <c r="E1386" s="83">
        <v>0</v>
      </c>
      <c r="F1386" s="83">
        <v>0</v>
      </c>
      <c r="G1386" s="83">
        <v>0</v>
      </c>
      <c r="H1386" s="83">
        <v>0</v>
      </c>
      <c r="I1386" s="83">
        <v>0</v>
      </c>
      <c r="J1386" s="83">
        <v>0</v>
      </c>
      <c r="K1386" s="83">
        <v>0</v>
      </c>
      <c r="L1386" s="83">
        <v>0</v>
      </c>
      <c r="M1386" s="83">
        <v>0</v>
      </c>
    </row>
    <row r="1387">
      <c r="A1387" s="3" t="s">
        <v>507</v>
      </c>
      <c r="B1387" s="3"/>
      <c r="C1387" s="83">
        <v>0</v>
      </c>
      <c r="D1387" s="83">
        <v>0</v>
      </c>
      <c r="E1387" s="83">
        <v>0</v>
      </c>
      <c r="F1387" s="83">
        <v>0</v>
      </c>
      <c r="G1387" s="83">
        <v>0</v>
      </c>
      <c r="H1387" s="83">
        <v>0</v>
      </c>
      <c r="I1387" s="83">
        <v>0</v>
      </c>
      <c r="J1387" s="83">
        <v>0</v>
      </c>
      <c r="K1387" s="83">
        <v>0</v>
      </c>
      <c r="L1387" s="83">
        <v>0</v>
      </c>
      <c r="M1387" s="83">
        <v>0</v>
      </c>
    </row>
    <row r="1388">
      <c r="A1388" s="3" t="s">
        <v>508</v>
      </c>
      <c r="B1388" s="3"/>
      <c r="C1388" s="83">
        <v>0</v>
      </c>
      <c r="D1388" s="83">
        <v>0</v>
      </c>
      <c r="E1388" s="83">
        <v>0</v>
      </c>
      <c r="F1388" s="83">
        <v>0</v>
      </c>
      <c r="G1388" s="83">
        <v>0</v>
      </c>
      <c r="H1388" s="83">
        <v>0</v>
      </c>
      <c r="I1388" s="83">
        <v>0</v>
      </c>
      <c r="J1388" s="83">
        <v>0</v>
      </c>
      <c r="K1388" s="83">
        <v>0</v>
      </c>
      <c r="L1388" s="83">
        <v>0</v>
      </c>
      <c r="M1388" s="83">
        <v>0</v>
      </c>
    </row>
    <row r="1389">
      <c r="A1389" s="3" t="s">
        <v>509</v>
      </c>
      <c r="B1389" s="3"/>
      <c r="C1389" s="83">
        <v>0</v>
      </c>
      <c r="D1389" s="83">
        <v>0</v>
      </c>
      <c r="E1389" s="83">
        <v>0</v>
      </c>
      <c r="F1389" s="83">
        <v>0</v>
      </c>
      <c r="G1389" s="83">
        <v>0</v>
      </c>
      <c r="H1389" s="83">
        <v>0</v>
      </c>
      <c r="I1389" s="83">
        <v>0</v>
      </c>
      <c r="J1389" s="83">
        <v>0</v>
      </c>
      <c r="K1389" s="83">
        <v>0</v>
      </c>
      <c r="L1389" s="83">
        <v>0</v>
      </c>
      <c r="M1389" s="83">
        <v>0</v>
      </c>
    </row>
    <row r="1390">
      <c r="A1390" s="3" t="s">
        <v>510</v>
      </c>
      <c r="B1390" s="3"/>
      <c r="C1390" s="83">
        <v>0</v>
      </c>
      <c r="D1390" s="83">
        <v>0</v>
      </c>
      <c r="E1390" s="83">
        <v>0</v>
      </c>
      <c r="F1390" s="83">
        <v>0</v>
      </c>
      <c r="G1390" s="83">
        <v>0</v>
      </c>
      <c r="H1390" s="83">
        <v>0</v>
      </c>
      <c r="I1390" s="83">
        <v>0</v>
      </c>
      <c r="J1390" s="83">
        <v>0</v>
      </c>
      <c r="K1390" s="83">
        <v>0</v>
      </c>
      <c r="L1390" s="83">
        <v>0</v>
      </c>
      <c r="M1390" s="83">
        <v>0</v>
      </c>
    </row>
    <row r="1394">
      <c r="A1394" s="22" t="s">
        <v>529</v>
      </c>
      <c r="C1394" s="22" t="s">
        <v>363</v>
      </c>
      <c r="D1394" s="22"/>
      <c r="E1394" s="22"/>
      <c r="F1394" s="22"/>
      <c r="G1394" s="22"/>
      <c r="H1394" s="22"/>
      <c r="I1394" s="22"/>
      <c r="J1394" s="22"/>
      <c r="K1394" s="22"/>
      <c r="L1394" s="22"/>
      <c r="M1394" s="22"/>
    </row>
    <row r="1395">
      <c r="A1395" s="22"/>
      <c r="B1395" s="3"/>
      <c r="C1395" s="22">
        <v>2026</v>
      </c>
      <c r="D1395" s="22">
        <v>2027</v>
      </c>
      <c r="E1395" s="22">
        <v>2028</v>
      </c>
      <c r="F1395" s="22">
        <v>2029</v>
      </c>
      <c r="G1395" s="22">
        <v>2030</v>
      </c>
      <c r="H1395" s="22">
        <v>2031</v>
      </c>
      <c r="I1395" s="22">
        <v>2032</v>
      </c>
      <c r="J1395" s="22">
        <v>2033</v>
      </c>
      <c r="K1395" s="22">
        <v>2034</v>
      </c>
      <c r="L1395" s="22">
        <v>2035</v>
      </c>
      <c r="M1395" s="22">
        <v>2036</v>
      </c>
      <c r="N1395" s="22" t="s">
        <v>530</v>
      </c>
    </row>
    <row r="1396">
      <c r="A1396" s="3" t="s">
        <v>117</v>
      </c>
      <c r="B1396" s="3"/>
      <c r="C1396" s="74">
        <v>0</v>
      </c>
      <c r="D1396" s="74">
        <v>0</v>
      </c>
      <c r="E1396" s="74">
        <v>0</v>
      </c>
      <c r="F1396" s="74">
        <v>0</v>
      </c>
      <c r="G1396" s="74">
        <v>0</v>
      </c>
      <c r="H1396" s="74">
        <v>0</v>
      </c>
      <c r="I1396" s="74">
        <v>0</v>
      </c>
      <c r="J1396" s="74">
        <v>0</v>
      </c>
      <c r="K1396" s="74">
        <v>0</v>
      </c>
      <c r="L1396" s="74">
        <v>0</v>
      </c>
      <c r="M1396" s="74">
        <v>0</v>
      </c>
      <c r="N1396" s="78">
        <f>Sum(C1396:M1396)</f>
        <v>0</v>
      </c>
      <c r="O1396" s="76" t="e">
        <f>(N1396/N1403)</f>
        <v>#DIV/0!</v>
      </c>
      <c r="P1396" s="0" t="s">
        <v>531</v>
      </c>
    </row>
    <row r="1397">
      <c r="A1397" s="3" t="s">
        <v>121</v>
      </c>
      <c r="B1397" s="3"/>
      <c r="C1397" s="74">
        <v>0</v>
      </c>
      <c r="D1397" s="74">
        <v>0</v>
      </c>
      <c r="E1397" s="74">
        <v>0</v>
      </c>
      <c r="F1397" s="74">
        <v>0</v>
      </c>
      <c r="G1397" s="74">
        <v>0</v>
      </c>
      <c r="H1397" s="74">
        <v>0</v>
      </c>
      <c r="I1397" s="74">
        <v>0</v>
      </c>
      <c r="J1397" s="74">
        <v>0</v>
      </c>
      <c r="K1397" s="74">
        <v>0</v>
      </c>
      <c r="L1397" s="74">
        <v>0</v>
      </c>
      <c r="M1397" s="74">
        <v>0</v>
      </c>
      <c r="N1397" s="78">
        <f>Sum(C1397:M1397)</f>
        <v>0</v>
      </c>
      <c r="O1397" s="76" t="e">
        <f>(N1397/N1403)</f>
        <v>#DIV/0!</v>
      </c>
      <c r="P1397" s="0" t="s">
        <v>532</v>
      </c>
    </row>
    <row r="1398">
      <c r="A1398" s="3" t="s">
        <v>122</v>
      </c>
      <c r="B1398" s="3"/>
      <c r="C1398" s="74">
        <v>0</v>
      </c>
      <c r="D1398" s="74">
        <v>0</v>
      </c>
      <c r="E1398" s="74">
        <v>0</v>
      </c>
      <c r="F1398" s="74">
        <v>0</v>
      </c>
      <c r="G1398" s="74">
        <v>0</v>
      </c>
      <c r="H1398" s="74">
        <v>0</v>
      </c>
      <c r="I1398" s="74">
        <v>0</v>
      </c>
      <c r="J1398" s="74">
        <v>0</v>
      </c>
      <c r="K1398" s="74">
        <v>0</v>
      </c>
      <c r="L1398" s="74">
        <v>0</v>
      </c>
      <c r="M1398" s="74">
        <v>0</v>
      </c>
      <c r="N1398" s="78">
        <f>Sum(C1398:M1398)</f>
        <v>0</v>
      </c>
      <c r="O1398" s="76" t="e">
        <f>(N1398/N1403)</f>
        <v>#DIV/0!</v>
      </c>
      <c r="P1398" s="0" t="s">
        <v>533</v>
      </c>
    </row>
    <row r="1399">
      <c r="A1399" s="3" t="s">
        <v>124</v>
      </c>
      <c r="B1399" s="3"/>
      <c r="C1399" s="74">
        <v>0</v>
      </c>
      <c r="D1399" s="74">
        <v>0</v>
      </c>
      <c r="E1399" s="74">
        <v>0</v>
      </c>
      <c r="F1399" s="74">
        <v>0</v>
      </c>
      <c r="G1399" s="74">
        <v>0</v>
      </c>
      <c r="H1399" s="74">
        <v>0</v>
      </c>
      <c r="I1399" s="74">
        <v>0</v>
      </c>
      <c r="J1399" s="74">
        <v>0</v>
      </c>
      <c r="K1399" s="74">
        <v>0</v>
      </c>
      <c r="L1399" s="74">
        <v>0</v>
      </c>
      <c r="M1399" s="74">
        <v>0</v>
      </c>
      <c r="N1399" s="78">
        <f>Sum(C1399:M1399)</f>
        <v>0</v>
      </c>
      <c r="O1399" s="76" t="e">
        <f>(N1399/N1403)</f>
        <v>#DIV/0!</v>
      </c>
      <c r="P1399" s="0" t="s">
        <v>534</v>
      </c>
    </row>
    <row r="1400">
      <c r="A1400" s="3" t="s">
        <v>535</v>
      </c>
      <c r="B1400" s="3"/>
      <c r="C1400" s="74">
        <v>0</v>
      </c>
      <c r="D1400" s="74">
        <v>0</v>
      </c>
      <c r="E1400" s="74">
        <v>0</v>
      </c>
      <c r="F1400" s="74">
        <v>0</v>
      </c>
      <c r="G1400" s="74">
        <v>0</v>
      </c>
      <c r="H1400" s="74">
        <v>0</v>
      </c>
      <c r="I1400" s="74">
        <v>0</v>
      </c>
      <c r="J1400" s="74">
        <v>0</v>
      </c>
      <c r="K1400" s="74">
        <v>0</v>
      </c>
      <c r="L1400" s="74">
        <v>0</v>
      </c>
      <c r="M1400" s="74">
        <v>0</v>
      </c>
      <c r="N1400" s="78">
        <f>Sum(C1400:M1400)</f>
        <v>0</v>
      </c>
      <c r="O1400" s="76" t="e">
        <f>(N1400/N1403)</f>
        <v>#DIV/0!</v>
      </c>
      <c r="P1400" s="0" t="s">
        <v>536</v>
      </c>
    </row>
    <row r="1401">
      <c r="A1401" s="3" t="s">
        <v>537</v>
      </c>
      <c r="B1401" s="3"/>
      <c r="C1401" s="74">
        <v>0</v>
      </c>
      <c r="D1401" s="74">
        <v>0</v>
      </c>
      <c r="E1401" s="74">
        <v>0</v>
      </c>
      <c r="F1401" s="74">
        <v>0</v>
      </c>
      <c r="G1401" s="74">
        <v>0</v>
      </c>
      <c r="H1401" s="74">
        <v>0</v>
      </c>
      <c r="I1401" s="74">
        <v>0</v>
      </c>
      <c r="J1401" s="74">
        <v>0</v>
      </c>
      <c r="K1401" s="74">
        <v>0</v>
      </c>
      <c r="L1401" s="74">
        <v>0</v>
      </c>
      <c r="M1401" s="74">
        <v>0</v>
      </c>
      <c r="N1401" s="78">
        <f>Sum(C1401:M1401)</f>
        <v>0</v>
      </c>
      <c r="O1401" s="76" t="e">
        <f>(N1401/N1403)</f>
        <v>#DIV/0!</v>
      </c>
      <c r="P1401" s="0" t="s">
        <v>538</v>
      </c>
    </row>
    <row r="1402">
      <c r="A1402" s="3" t="s">
        <v>539</v>
      </c>
      <c r="B1402" s="3"/>
      <c r="C1402" s="74">
        <v>0</v>
      </c>
      <c r="D1402" s="74">
        <v>0</v>
      </c>
      <c r="E1402" s="74">
        <v>0</v>
      </c>
      <c r="F1402" s="74">
        <v>0</v>
      </c>
      <c r="G1402" s="74">
        <v>0</v>
      </c>
      <c r="H1402" s="74">
        <v>0</v>
      </c>
      <c r="I1402" s="74">
        <v>0</v>
      </c>
      <c r="J1402" s="74">
        <v>0</v>
      </c>
      <c r="K1402" s="74">
        <v>0</v>
      </c>
      <c r="L1402" s="74">
        <v>0</v>
      </c>
      <c r="M1402" s="74">
        <v>0</v>
      </c>
      <c r="N1402" s="78">
        <f>Sum(C1402:M1402)</f>
        <v>0</v>
      </c>
      <c r="O1402" s="76" t="e">
        <f>(N1402/N1403)</f>
        <v>#DIV/0!</v>
      </c>
      <c r="P1402" s="0" t="s">
        <v>540</v>
      </c>
    </row>
    <row r="1403">
      <c r="A1403" s="3" t="s">
        <v>541</v>
      </c>
      <c r="B1403" s="3"/>
      <c r="C1403" s="74"/>
      <c r="D1403" s="74"/>
      <c r="E1403" s="74"/>
      <c r="F1403" s="74"/>
      <c r="G1403" s="74"/>
      <c r="H1403" s="74"/>
      <c r="I1403" s="74"/>
      <c r="J1403" s="74"/>
      <c r="K1403" s="74"/>
      <c r="L1403" s="74"/>
      <c r="M1403" s="74"/>
      <c r="N1403" s="78">
        <f>Sum(C1403:M1403)</f>
        <v>0</v>
      </c>
    </row>
    <row r="1404">
      <c r="A1404" s="3"/>
      <c r="B1404" s="3"/>
      <c r="C1404" s="74"/>
      <c r="D1404" s="74"/>
      <c r="E1404" s="74"/>
      <c r="F1404" s="74"/>
      <c r="G1404" s="74"/>
      <c r="H1404" s="74"/>
      <c r="I1404" s="74"/>
      <c r="J1404" s="74"/>
      <c r="K1404" s="74"/>
      <c r="L1404" s="74"/>
      <c r="M1404" s="74"/>
      <c r="N1404" s="78"/>
    </row>
    <row r="1405">
      <c r="A1405" s="3" t="s">
        <v>542</v>
      </c>
      <c r="B1405" s="3"/>
      <c r="C1405" s="74">
        <v>0</v>
      </c>
      <c r="D1405" s="74">
        <v>0</v>
      </c>
      <c r="E1405" s="74">
        <v>0</v>
      </c>
      <c r="F1405" s="74">
        <v>0</v>
      </c>
      <c r="G1405" s="74">
        <v>0</v>
      </c>
      <c r="H1405" s="74">
        <v>0</v>
      </c>
      <c r="I1405" s="74">
        <v>0</v>
      </c>
      <c r="J1405" s="74">
        <v>0</v>
      </c>
      <c r="K1405" s="74">
        <v>0</v>
      </c>
      <c r="L1405" s="74">
        <v>0</v>
      </c>
      <c r="M1405" s="74">
        <v>0</v>
      </c>
      <c r="N1405" s="78">
        <f>Sum(C1405:M1405)</f>
        <v>0</v>
      </c>
    </row>
    <row r="1407">
      <c r="A1407" s="22" t="s">
        <v>543</v>
      </c>
      <c r="C1407" s="22" t="s">
        <v>363</v>
      </c>
      <c r="D1407" s="22"/>
      <c r="E1407" s="22"/>
      <c r="F1407" s="22"/>
      <c r="G1407" s="22"/>
      <c r="H1407" s="22"/>
      <c r="I1407" s="22"/>
      <c r="J1407" s="22"/>
      <c r="K1407" s="22"/>
      <c r="L1407" s="22"/>
      <c r="M1407" s="22"/>
    </row>
    <row r="1408">
      <c r="A1408" s="22"/>
      <c r="C1408" s="22">
        <v>2026</v>
      </c>
      <c r="D1408" s="22">
        <v>2027</v>
      </c>
      <c r="E1408" s="22">
        <v>2028</v>
      </c>
      <c r="F1408" s="22">
        <v>2029</v>
      </c>
      <c r="G1408" s="22">
        <v>2030</v>
      </c>
      <c r="H1408" s="22">
        <v>2031</v>
      </c>
      <c r="I1408" s="22">
        <v>2032</v>
      </c>
      <c r="J1408" s="22">
        <v>2033</v>
      </c>
      <c r="K1408" s="22">
        <v>2034</v>
      </c>
      <c r="L1408" s="22">
        <v>2035</v>
      </c>
      <c r="M1408" s="22">
        <v>2036</v>
      </c>
    </row>
    <row r="1409">
      <c r="A1409" s="3"/>
      <c r="B1409" s="3"/>
      <c r="C1409" s="74"/>
      <c r="D1409" s="74"/>
      <c r="E1409" s="74"/>
      <c r="F1409" s="74"/>
      <c r="G1409" s="74"/>
      <c r="H1409" s="74"/>
      <c r="I1409" s="74"/>
      <c r="J1409" s="74"/>
      <c r="K1409" s="74"/>
      <c r="L1409" s="74"/>
      <c r="M1409" s="74"/>
      <c r="N1409" s="78">
        <f>Sum(C1409:M1409)</f>
        <v>0</v>
      </c>
    </row>
    <row r="1412">
      <c r="A1412" s="22" t="s">
        <v>473</v>
      </c>
      <c r="C1412" s="22" t="s">
        <v>544</v>
      </c>
      <c r="D1412" s="22"/>
      <c r="E1412" s="22"/>
      <c r="F1412" s="22"/>
      <c r="G1412" s="22"/>
      <c r="H1412" s="22"/>
      <c r="I1412" s="22"/>
      <c r="J1412" s="22"/>
      <c r="K1412" s="22"/>
      <c r="L1412" s="22"/>
      <c r="M1412" s="22"/>
    </row>
    <row r="1413">
      <c r="A1413" s="22"/>
      <c r="C1413" s="22">
        <v>2026</v>
      </c>
      <c r="D1413" s="22">
        <v>2027</v>
      </c>
      <c r="E1413" s="22">
        <v>2028</v>
      </c>
      <c r="F1413" s="22">
        <v>2029</v>
      </c>
      <c r="G1413" s="22">
        <v>2030</v>
      </c>
      <c r="H1413" s="22">
        <v>2031</v>
      </c>
      <c r="I1413" s="22">
        <v>2032</v>
      </c>
      <c r="J1413" s="22">
        <v>2033</v>
      </c>
      <c r="K1413" s="22">
        <v>2034</v>
      </c>
      <c r="L1413" s="22">
        <v>2035</v>
      </c>
      <c r="M1413" s="22">
        <v>2036</v>
      </c>
    </row>
    <row r="1414">
      <c r="A1414" s="3" t="s">
        <v>545</v>
      </c>
      <c r="B1414" s="3"/>
      <c r="C1414" s="90">
        <v>0</v>
      </c>
      <c r="D1414" s="90">
        <v>0</v>
      </c>
      <c r="E1414" s="90">
        <v>0</v>
      </c>
      <c r="F1414" s="90">
        <v>0</v>
      </c>
      <c r="G1414" s="90">
        <v>0</v>
      </c>
      <c r="H1414" s="90">
        <v>0</v>
      </c>
      <c r="I1414" s="90">
        <v>0</v>
      </c>
      <c r="J1414" s="90">
        <v>0</v>
      </c>
      <c r="K1414" s="90">
        <v>0</v>
      </c>
      <c r="L1414" s="90">
        <v>0</v>
      </c>
      <c r="M1414" s="90">
        <v>0</v>
      </c>
    </row>
    <row r="1415">
      <c r="A1415" s="3" t="s">
        <v>546</v>
      </c>
      <c r="B1415" s="3"/>
      <c r="C1415" s="90">
        <v>0</v>
      </c>
      <c r="D1415" s="90">
        <v>0</v>
      </c>
      <c r="E1415" s="90">
        <v>0</v>
      </c>
      <c r="F1415" s="90">
        <v>0</v>
      </c>
      <c r="G1415" s="90">
        <v>0</v>
      </c>
      <c r="H1415" s="90">
        <v>0</v>
      </c>
      <c r="I1415" s="90">
        <v>0</v>
      </c>
      <c r="J1415" s="90">
        <v>0</v>
      </c>
      <c r="K1415" s="90">
        <v>0</v>
      </c>
      <c r="L1415" s="90">
        <v>0</v>
      </c>
      <c r="M1415" s="90">
        <v>0</v>
      </c>
    </row>
    <row r="1416">
      <c r="A1416" s="3" t="s">
        <v>547</v>
      </c>
      <c r="B1416" s="3"/>
      <c r="C1416" s="90">
        <v>0</v>
      </c>
      <c r="D1416" s="90">
        <v>0</v>
      </c>
      <c r="E1416" s="90">
        <v>0</v>
      </c>
      <c r="F1416" s="90">
        <v>0</v>
      </c>
      <c r="G1416" s="90">
        <v>0</v>
      </c>
      <c r="H1416" s="90">
        <v>0</v>
      </c>
      <c r="I1416" s="90">
        <v>0</v>
      </c>
      <c r="J1416" s="90">
        <v>0</v>
      </c>
      <c r="K1416" s="90">
        <v>0</v>
      </c>
      <c r="L1416" s="90">
        <v>0</v>
      </c>
      <c r="M1416" s="90">
        <v>0</v>
      </c>
    </row>
    <row r="1417">
      <c r="A1417" s="3" t="s">
        <v>548</v>
      </c>
      <c r="B1417" s="3"/>
      <c r="C1417" s="90">
        <v>0</v>
      </c>
      <c r="D1417" s="90">
        <v>0</v>
      </c>
      <c r="E1417" s="90">
        <v>0</v>
      </c>
      <c r="F1417" s="90">
        <v>0</v>
      </c>
      <c r="G1417" s="90">
        <v>0</v>
      </c>
      <c r="H1417" s="90">
        <v>0</v>
      </c>
      <c r="I1417" s="90">
        <v>0</v>
      </c>
      <c r="J1417" s="90">
        <v>0</v>
      </c>
      <c r="K1417" s="90">
        <v>0</v>
      </c>
      <c r="L1417" s="90">
        <v>0</v>
      </c>
      <c r="M1417" s="90">
        <v>0</v>
      </c>
    </row>
    <row r="1418">
      <c r="A1418" s="3" t="s">
        <v>549</v>
      </c>
      <c r="B1418" s="3"/>
      <c r="C1418" s="90">
        <v>0</v>
      </c>
      <c r="D1418" s="90">
        <v>0</v>
      </c>
      <c r="E1418" s="90">
        <v>0</v>
      </c>
      <c r="F1418" s="90">
        <v>0</v>
      </c>
      <c r="G1418" s="90">
        <v>0</v>
      </c>
      <c r="H1418" s="90">
        <v>0</v>
      </c>
      <c r="I1418" s="90">
        <v>0</v>
      </c>
      <c r="J1418" s="90">
        <v>0</v>
      </c>
      <c r="K1418" s="90">
        <v>0</v>
      </c>
      <c r="L1418" s="90">
        <v>0</v>
      </c>
      <c r="M1418" s="90">
        <v>0</v>
      </c>
    </row>
    <row r="1419">
      <c r="A1419" s="3" t="s">
        <v>550</v>
      </c>
      <c r="B1419" s="3"/>
      <c r="C1419" s="90">
        <v>0</v>
      </c>
      <c r="D1419" s="90">
        <v>0</v>
      </c>
      <c r="E1419" s="90">
        <v>0</v>
      </c>
      <c r="F1419" s="90">
        <v>0</v>
      </c>
      <c r="G1419" s="90">
        <v>0</v>
      </c>
      <c r="H1419" s="90">
        <v>0</v>
      </c>
      <c r="I1419" s="90">
        <v>0</v>
      </c>
      <c r="J1419" s="90">
        <v>0</v>
      </c>
      <c r="K1419" s="90">
        <v>0</v>
      </c>
      <c r="L1419" s="90">
        <v>0</v>
      </c>
      <c r="M1419" s="90">
        <v>0</v>
      </c>
    </row>
    <row r="1420">
      <c r="A1420" s="3" t="s">
        <v>551</v>
      </c>
      <c r="B1420" s="3"/>
      <c r="C1420" s="90">
        <v>0</v>
      </c>
      <c r="D1420" s="90">
        <v>0</v>
      </c>
      <c r="E1420" s="90"/>
      <c r="F1420" s="90">
        <v>0</v>
      </c>
      <c r="G1420" s="90"/>
      <c r="H1420" s="90">
        <v>0</v>
      </c>
      <c r="I1420" s="90"/>
      <c r="J1420" s="90"/>
      <c r="K1420" s="90"/>
      <c r="L1420" s="90"/>
      <c r="M1420" s="90">
        <v>0</v>
      </c>
    </row>
    <row r="1422">
      <c r="A1422" s="25" t="s">
        <v>164</v>
      </c>
      <c r="B1422" s="25"/>
      <c r="C1422" s="25"/>
      <c r="D1422" s="25"/>
      <c r="E1422" s="25"/>
      <c r="F1422" s="25"/>
      <c r="G1422" s="25"/>
      <c r="H1422" s="25"/>
      <c r="I1422" s="25"/>
      <c r="J1422" s="25"/>
      <c r="K1422" s="25"/>
      <c r="L1422" s="24"/>
      <c r="M1422" s="24"/>
    </row>
    <row r="1425">
      <c r="A1425" s="22" t="s">
        <v>363</v>
      </c>
      <c r="C1425" s="22" t="s">
        <v>502</v>
      </c>
      <c r="D1425" s="22"/>
      <c r="E1425" s="22"/>
      <c r="F1425" s="22"/>
      <c r="G1425" s="22"/>
      <c r="H1425" s="22"/>
      <c r="I1425" s="22"/>
      <c r="J1425" s="22"/>
      <c r="K1425" s="22"/>
      <c r="L1425" s="22"/>
      <c r="M1425" s="22"/>
    </row>
    <row r="1426">
      <c r="A1426" s="22"/>
      <c r="C1426" s="22">
        <v>2026</v>
      </c>
      <c r="D1426" s="22">
        <v>2027</v>
      </c>
      <c r="E1426" s="22">
        <v>2028</v>
      </c>
      <c r="F1426" s="22">
        <v>2029</v>
      </c>
      <c r="G1426" s="22">
        <v>2030</v>
      </c>
      <c r="H1426" s="22">
        <v>2031</v>
      </c>
      <c r="I1426" s="22">
        <v>2032</v>
      </c>
      <c r="J1426" s="22">
        <v>2033</v>
      </c>
      <c r="K1426" s="22">
        <v>2034</v>
      </c>
      <c r="L1426" s="22">
        <v>2035</v>
      </c>
      <c r="M1426" s="22">
        <v>2036</v>
      </c>
    </row>
    <row r="1427">
      <c r="A1427" s="3" t="s">
        <v>504</v>
      </c>
      <c r="B1427" s="3"/>
      <c r="C1427" s="82">
        <v>0</v>
      </c>
      <c r="D1427" s="82">
        <v>0</v>
      </c>
      <c r="E1427" s="82">
        <v>0</v>
      </c>
      <c r="F1427" s="82">
        <v>0</v>
      </c>
      <c r="G1427" s="82">
        <v>0</v>
      </c>
      <c r="H1427" s="82">
        <v>0</v>
      </c>
      <c r="I1427" s="82">
        <v>0</v>
      </c>
      <c r="J1427" s="82">
        <v>0</v>
      </c>
      <c r="K1427" s="82">
        <v>0</v>
      </c>
      <c r="L1427" s="82">
        <v>0</v>
      </c>
      <c r="M1427" s="82">
        <v>0</v>
      </c>
    </row>
    <row r="1428">
      <c r="A1428" s="3" t="s">
        <v>506</v>
      </c>
      <c r="B1428" s="3"/>
      <c r="C1428" s="83">
        <v>0</v>
      </c>
      <c r="D1428" s="83">
        <v>0</v>
      </c>
      <c r="E1428" s="83">
        <v>0</v>
      </c>
      <c r="F1428" s="83">
        <v>0</v>
      </c>
      <c r="G1428" s="83">
        <v>0</v>
      </c>
      <c r="H1428" s="83">
        <v>0</v>
      </c>
      <c r="I1428" s="83">
        <v>0</v>
      </c>
      <c r="J1428" s="83">
        <v>0</v>
      </c>
      <c r="K1428" s="83">
        <v>0</v>
      </c>
      <c r="L1428" s="83">
        <v>0</v>
      </c>
      <c r="M1428" s="83">
        <v>0</v>
      </c>
    </row>
    <row r="1429">
      <c r="A1429" s="3" t="s">
        <v>507</v>
      </c>
      <c r="B1429" s="3"/>
      <c r="C1429" s="83">
        <v>0</v>
      </c>
      <c r="D1429" s="83">
        <v>0</v>
      </c>
      <c r="E1429" s="83">
        <v>0</v>
      </c>
      <c r="F1429" s="83">
        <v>0</v>
      </c>
      <c r="G1429" s="83">
        <v>0</v>
      </c>
      <c r="H1429" s="83">
        <v>0</v>
      </c>
      <c r="I1429" s="83">
        <v>0</v>
      </c>
      <c r="J1429" s="83">
        <v>0</v>
      </c>
      <c r="K1429" s="83">
        <v>0</v>
      </c>
      <c r="L1429" s="83">
        <v>0</v>
      </c>
      <c r="M1429" s="83">
        <v>0</v>
      </c>
    </row>
    <row r="1430">
      <c r="A1430" s="3" t="s">
        <v>508</v>
      </c>
      <c r="B1430" s="3"/>
      <c r="C1430" s="83">
        <v>0</v>
      </c>
      <c r="D1430" s="83">
        <v>0</v>
      </c>
      <c r="E1430" s="83">
        <v>0</v>
      </c>
      <c r="F1430" s="83">
        <v>0</v>
      </c>
      <c r="G1430" s="83">
        <v>0</v>
      </c>
      <c r="H1430" s="83">
        <v>0</v>
      </c>
      <c r="I1430" s="83">
        <v>0</v>
      </c>
      <c r="J1430" s="83">
        <v>0</v>
      </c>
      <c r="K1430" s="83">
        <v>0</v>
      </c>
      <c r="L1430" s="83">
        <v>0</v>
      </c>
      <c r="M1430" s="83">
        <v>0</v>
      </c>
    </row>
    <row r="1431">
      <c r="A1431" s="3" t="s">
        <v>509</v>
      </c>
      <c r="B1431" s="3"/>
      <c r="C1431" s="83">
        <v>0</v>
      </c>
      <c r="D1431" s="83">
        <v>0</v>
      </c>
      <c r="E1431" s="83">
        <v>0</v>
      </c>
      <c r="F1431" s="83">
        <v>0</v>
      </c>
      <c r="G1431" s="83">
        <v>0</v>
      </c>
      <c r="H1431" s="83">
        <v>0</v>
      </c>
      <c r="I1431" s="83">
        <v>0</v>
      </c>
      <c r="J1431" s="83">
        <v>0</v>
      </c>
      <c r="K1431" s="83">
        <v>0</v>
      </c>
      <c r="L1431" s="83">
        <v>0</v>
      </c>
      <c r="M1431" s="83">
        <v>0</v>
      </c>
    </row>
    <row r="1432">
      <c r="A1432" s="3" t="s">
        <v>510</v>
      </c>
      <c r="B1432" s="3"/>
      <c r="C1432" s="83">
        <v>0</v>
      </c>
      <c r="D1432" s="83">
        <v>0</v>
      </c>
      <c r="E1432" s="83">
        <v>0</v>
      </c>
      <c r="F1432" s="83">
        <v>0</v>
      </c>
      <c r="G1432" s="83">
        <v>0</v>
      </c>
      <c r="H1432" s="83">
        <v>0</v>
      </c>
      <c r="I1432" s="83">
        <v>0</v>
      </c>
      <c r="J1432" s="83">
        <v>0</v>
      </c>
      <c r="K1432" s="83">
        <v>0</v>
      </c>
      <c r="L1432" s="83">
        <v>0</v>
      </c>
      <c r="M1432" s="83">
        <v>0</v>
      </c>
    </row>
    <row r="1436">
      <c r="A1436" s="22" t="s">
        <v>529</v>
      </c>
      <c r="C1436" s="22" t="s">
        <v>363</v>
      </c>
      <c r="D1436" s="22"/>
      <c r="E1436" s="22"/>
      <c r="F1436" s="22"/>
      <c r="G1436" s="22"/>
      <c r="H1436" s="22"/>
      <c r="I1436" s="22"/>
      <c r="J1436" s="22"/>
      <c r="K1436" s="22"/>
      <c r="L1436" s="22"/>
      <c r="M1436" s="22"/>
    </row>
    <row r="1437">
      <c r="A1437" s="22"/>
      <c r="B1437" s="3"/>
      <c r="C1437" s="22">
        <v>2026</v>
      </c>
      <c r="D1437" s="22">
        <v>2027</v>
      </c>
      <c r="E1437" s="22">
        <v>2028</v>
      </c>
      <c r="F1437" s="22">
        <v>2029</v>
      </c>
      <c r="G1437" s="22">
        <v>2030</v>
      </c>
      <c r="H1437" s="22">
        <v>2031</v>
      </c>
      <c r="I1437" s="22">
        <v>2032</v>
      </c>
      <c r="J1437" s="22">
        <v>2033</v>
      </c>
      <c r="K1437" s="22">
        <v>2034</v>
      </c>
      <c r="L1437" s="22">
        <v>2035</v>
      </c>
      <c r="M1437" s="22">
        <v>2036</v>
      </c>
      <c r="N1437" s="22" t="s">
        <v>530</v>
      </c>
    </row>
    <row r="1438">
      <c r="A1438" s="3" t="s">
        <v>117</v>
      </c>
      <c r="B1438" s="3"/>
      <c r="C1438" s="74">
        <v>0</v>
      </c>
      <c r="D1438" s="74">
        <v>0</v>
      </c>
      <c r="E1438" s="74">
        <v>0</v>
      </c>
      <c r="F1438" s="74">
        <v>0</v>
      </c>
      <c r="G1438" s="74">
        <v>0</v>
      </c>
      <c r="H1438" s="74">
        <v>0</v>
      </c>
      <c r="I1438" s="74">
        <v>0</v>
      </c>
      <c r="J1438" s="74">
        <v>0</v>
      </c>
      <c r="K1438" s="74">
        <v>0</v>
      </c>
      <c r="L1438" s="74">
        <v>0</v>
      </c>
      <c r="M1438" s="74">
        <v>0</v>
      </c>
      <c r="N1438" s="78">
        <f>Sum(C1438:M1438)</f>
        <v>0</v>
      </c>
      <c r="O1438" s="76" t="e">
        <f>(N1438/N1445)</f>
        <v>#DIV/0!</v>
      </c>
      <c r="P1438" s="0" t="s">
        <v>531</v>
      </c>
    </row>
    <row r="1439">
      <c r="A1439" s="3" t="s">
        <v>121</v>
      </c>
      <c r="B1439" s="3"/>
      <c r="C1439" s="74">
        <v>0</v>
      </c>
      <c r="D1439" s="74">
        <v>0</v>
      </c>
      <c r="E1439" s="74">
        <v>0</v>
      </c>
      <c r="F1439" s="74">
        <v>0</v>
      </c>
      <c r="G1439" s="74">
        <v>0</v>
      </c>
      <c r="H1439" s="74">
        <v>0</v>
      </c>
      <c r="I1439" s="74">
        <v>0</v>
      </c>
      <c r="J1439" s="74">
        <v>0</v>
      </c>
      <c r="K1439" s="74">
        <v>0</v>
      </c>
      <c r="L1439" s="74">
        <v>0</v>
      </c>
      <c r="M1439" s="74">
        <v>0</v>
      </c>
      <c r="N1439" s="78">
        <f>Sum(C1439:M1439)</f>
        <v>0</v>
      </c>
      <c r="O1439" s="76" t="e">
        <f>(N1439/N1445)</f>
        <v>#DIV/0!</v>
      </c>
      <c r="P1439" s="0" t="s">
        <v>532</v>
      </c>
    </row>
    <row r="1440">
      <c r="A1440" s="3" t="s">
        <v>122</v>
      </c>
      <c r="B1440" s="3"/>
      <c r="C1440" s="74">
        <v>0</v>
      </c>
      <c r="D1440" s="74">
        <v>0</v>
      </c>
      <c r="E1440" s="74">
        <v>0</v>
      </c>
      <c r="F1440" s="74">
        <v>0</v>
      </c>
      <c r="G1440" s="74">
        <v>0</v>
      </c>
      <c r="H1440" s="74">
        <v>0</v>
      </c>
      <c r="I1440" s="74">
        <v>0</v>
      </c>
      <c r="J1440" s="74">
        <v>0</v>
      </c>
      <c r="K1440" s="74">
        <v>0</v>
      </c>
      <c r="L1440" s="74">
        <v>0</v>
      </c>
      <c r="M1440" s="74">
        <v>0</v>
      </c>
      <c r="N1440" s="78">
        <f>Sum(C1440:M1440)</f>
        <v>0</v>
      </c>
      <c r="O1440" s="76" t="e">
        <f>(N1440/N1445)</f>
        <v>#DIV/0!</v>
      </c>
      <c r="P1440" s="0" t="s">
        <v>533</v>
      </c>
    </row>
    <row r="1441">
      <c r="A1441" s="3" t="s">
        <v>124</v>
      </c>
      <c r="B1441" s="3"/>
      <c r="C1441" s="74">
        <v>0</v>
      </c>
      <c r="D1441" s="74">
        <v>0</v>
      </c>
      <c r="E1441" s="74">
        <v>0</v>
      </c>
      <c r="F1441" s="74">
        <v>0</v>
      </c>
      <c r="G1441" s="74">
        <v>0</v>
      </c>
      <c r="H1441" s="74">
        <v>0</v>
      </c>
      <c r="I1441" s="74">
        <v>0</v>
      </c>
      <c r="J1441" s="74">
        <v>0</v>
      </c>
      <c r="K1441" s="74">
        <v>0</v>
      </c>
      <c r="L1441" s="74">
        <v>0</v>
      </c>
      <c r="M1441" s="74">
        <v>0</v>
      </c>
      <c r="N1441" s="78">
        <f>Sum(C1441:M1441)</f>
        <v>0</v>
      </c>
      <c r="O1441" s="76" t="e">
        <f>(N1441/N1445)</f>
        <v>#DIV/0!</v>
      </c>
      <c r="P1441" s="0" t="s">
        <v>534</v>
      </c>
    </row>
    <row r="1442">
      <c r="A1442" s="3" t="s">
        <v>535</v>
      </c>
      <c r="B1442" s="3"/>
      <c r="C1442" s="74">
        <v>0</v>
      </c>
      <c r="D1442" s="74">
        <v>0</v>
      </c>
      <c r="E1442" s="74">
        <v>0</v>
      </c>
      <c r="F1442" s="74">
        <v>0</v>
      </c>
      <c r="G1442" s="74">
        <v>0</v>
      </c>
      <c r="H1442" s="74">
        <v>0</v>
      </c>
      <c r="I1442" s="74">
        <v>0</v>
      </c>
      <c r="J1442" s="74">
        <v>0</v>
      </c>
      <c r="K1442" s="74">
        <v>0</v>
      </c>
      <c r="L1442" s="74">
        <v>0</v>
      </c>
      <c r="M1442" s="74">
        <v>0</v>
      </c>
      <c r="N1442" s="78">
        <f>Sum(C1442:M1442)</f>
        <v>0</v>
      </c>
      <c r="O1442" s="76" t="e">
        <f>(N1442/N1445)</f>
        <v>#DIV/0!</v>
      </c>
      <c r="P1442" s="0" t="s">
        <v>536</v>
      </c>
    </row>
    <row r="1443">
      <c r="A1443" s="3" t="s">
        <v>537</v>
      </c>
      <c r="B1443" s="3"/>
      <c r="C1443" s="74">
        <v>0</v>
      </c>
      <c r="D1443" s="74">
        <v>0</v>
      </c>
      <c r="E1443" s="74">
        <v>0</v>
      </c>
      <c r="F1443" s="74">
        <v>0</v>
      </c>
      <c r="G1443" s="74">
        <v>0</v>
      </c>
      <c r="H1443" s="74">
        <v>0</v>
      </c>
      <c r="I1443" s="74">
        <v>0</v>
      </c>
      <c r="J1443" s="74">
        <v>0</v>
      </c>
      <c r="K1443" s="74">
        <v>0</v>
      </c>
      <c r="L1443" s="74">
        <v>0</v>
      </c>
      <c r="M1443" s="74">
        <v>0</v>
      </c>
      <c r="N1443" s="78">
        <f>Sum(C1443:M1443)</f>
        <v>0</v>
      </c>
      <c r="O1443" s="76" t="e">
        <f>(N1443/N1445)</f>
        <v>#DIV/0!</v>
      </c>
      <c r="P1443" s="0" t="s">
        <v>538</v>
      </c>
    </row>
    <row r="1444">
      <c r="A1444" s="3" t="s">
        <v>539</v>
      </c>
      <c r="B1444" s="3"/>
      <c r="C1444" s="74">
        <v>0</v>
      </c>
      <c r="D1444" s="74">
        <v>0</v>
      </c>
      <c r="E1444" s="74">
        <v>0</v>
      </c>
      <c r="F1444" s="74">
        <v>0</v>
      </c>
      <c r="G1444" s="74">
        <v>0</v>
      </c>
      <c r="H1444" s="74">
        <v>0</v>
      </c>
      <c r="I1444" s="74">
        <v>0</v>
      </c>
      <c r="J1444" s="74">
        <v>0</v>
      </c>
      <c r="K1444" s="74">
        <v>0</v>
      </c>
      <c r="L1444" s="74">
        <v>0</v>
      </c>
      <c r="M1444" s="74">
        <v>0</v>
      </c>
      <c r="N1444" s="78">
        <f>Sum(C1444:M1444)</f>
        <v>0</v>
      </c>
      <c r="O1444" s="76" t="e">
        <f>(N1444/N1445)</f>
        <v>#DIV/0!</v>
      </c>
      <c r="P1444" s="0" t="s">
        <v>540</v>
      </c>
    </row>
    <row r="1445">
      <c r="A1445" s="3" t="s">
        <v>541</v>
      </c>
      <c r="B1445" s="3"/>
      <c r="C1445" s="74"/>
      <c r="D1445" s="74"/>
      <c r="E1445" s="74"/>
      <c r="F1445" s="74"/>
      <c r="G1445" s="74"/>
      <c r="H1445" s="74"/>
      <c r="I1445" s="74"/>
      <c r="J1445" s="74"/>
      <c r="K1445" s="74"/>
      <c r="L1445" s="74"/>
      <c r="M1445" s="74"/>
      <c r="N1445" s="78">
        <f>Sum(C1445:M1445)</f>
        <v>0</v>
      </c>
    </row>
    <row r="1446">
      <c r="A1446" s="3"/>
      <c r="B1446" s="3"/>
      <c r="C1446" s="74"/>
      <c r="D1446" s="74"/>
      <c r="E1446" s="74"/>
      <c r="F1446" s="74"/>
      <c r="G1446" s="74"/>
      <c r="H1446" s="74"/>
      <c r="I1446" s="74"/>
      <c r="J1446" s="74"/>
      <c r="K1446" s="74"/>
      <c r="L1446" s="74"/>
      <c r="M1446" s="74"/>
      <c r="N1446" s="78"/>
    </row>
    <row r="1447">
      <c r="A1447" s="3" t="s">
        <v>542</v>
      </c>
      <c r="B1447" s="3"/>
      <c r="C1447" s="74">
        <v>0</v>
      </c>
      <c r="D1447" s="74">
        <v>0</v>
      </c>
      <c r="E1447" s="74">
        <v>0</v>
      </c>
      <c r="F1447" s="74">
        <v>0</v>
      </c>
      <c r="G1447" s="74">
        <v>0</v>
      </c>
      <c r="H1447" s="74">
        <v>0</v>
      </c>
      <c r="I1447" s="74">
        <v>0</v>
      </c>
      <c r="J1447" s="74">
        <v>0</v>
      </c>
      <c r="K1447" s="74">
        <v>0</v>
      </c>
      <c r="L1447" s="74">
        <v>0</v>
      </c>
      <c r="M1447" s="74">
        <v>0</v>
      </c>
      <c r="N1447" s="78">
        <f>Sum(C1447:M1447)</f>
        <v>0</v>
      </c>
    </row>
    <row r="1449">
      <c r="A1449" s="22" t="s">
        <v>543</v>
      </c>
      <c r="C1449" s="22" t="s">
        <v>363</v>
      </c>
      <c r="D1449" s="22"/>
      <c r="E1449" s="22"/>
      <c r="F1449" s="22"/>
      <c r="G1449" s="22"/>
      <c r="H1449" s="22"/>
      <c r="I1449" s="22"/>
      <c r="J1449" s="22"/>
      <c r="K1449" s="22"/>
      <c r="L1449" s="22"/>
      <c r="M1449" s="22"/>
    </row>
    <row r="1450">
      <c r="A1450" s="22"/>
      <c r="C1450" s="22">
        <v>2026</v>
      </c>
      <c r="D1450" s="22">
        <v>2027</v>
      </c>
      <c r="E1450" s="22">
        <v>2028</v>
      </c>
      <c r="F1450" s="22">
        <v>2029</v>
      </c>
      <c r="G1450" s="22">
        <v>2030</v>
      </c>
      <c r="H1450" s="22">
        <v>2031</v>
      </c>
      <c r="I1450" s="22">
        <v>2032</v>
      </c>
      <c r="J1450" s="22">
        <v>2033</v>
      </c>
      <c r="K1450" s="22">
        <v>2034</v>
      </c>
      <c r="L1450" s="22">
        <v>2035</v>
      </c>
      <c r="M1450" s="22">
        <v>2036</v>
      </c>
    </row>
    <row r="1451">
      <c r="A1451" s="3"/>
      <c r="B1451" s="3"/>
      <c r="C1451" s="74"/>
      <c r="D1451" s="74"/>
      <c r="E1451" s="74"/>
      <c r="F1451" s="74"/>
      <c r="G1451" s="74"/>
      <c r="H1451" s="74"/>
      <c r="I1451" s="74"/>
      <c r="J1451" s="74"/>
      <c r="K1451" s="74"/>
      <c r="L1451" s="74"/>
      <c r="M1451" s="74"/>
      <c r="N1451" s="78">
        <f>Sum(C1451:M1451)</f>
        <v>0</v>
      </c>
    </row>
    <row r="1454">
      <c r="A1454" s="22" t="s">
        <v>473</v>
      </c>
      <c r="C1454" s="22" t="s">
        <v>544</v>
      </c>
      <c r="D1454" s="22"/>
      <c r="E1454" s="22"/>
      <c r="F1454" s="22"/>
      <c r="G1454" s="22"/>
      <c r="H1454" s="22"/>
      <c r="I1454" s="22"/>
      <c r="J1454" s="22"/>
      <c r="K1454" s="22"/>
      <c r="L1454" s="22"/>
      <c r="M1454" s="22"/>
    </row>
    <row r="1455">
      <c r="A1455" s="22"/>
      <c r="C1455" s="22">
        <v>2026</v>
      </c>
      <c r="D1455" s="22">
        <v>2027</v>
      </c>
      <c r="E1455" s="22">
        <v>2028</v>
      </c>
      <c r="F1455" s="22">
        <v>2029</v>
      </c>
      <c r="G1455" s="22">
        <v>2030</v>
      </c>
      <c r="H1455" s="22">
        <v>2031</v>
      </c>
      <c r="I1455" s="22">
        <v>2032</v>
      </c>
      <c r="J1455" s="22">
        <v>2033</v>
      </c>
      <c r="K1455" s="22">
        <v>2034</v>
      </c>
      <c r="L1455" s="22">
        <v>2035</v>
      </c>
      <c r="M1455" s="22">
        <v>2036</v>
      </c>
    </row>
    <row r="1456">
      <c r="A1456" s="3" t="s">
        <v>545</v>
      </c>
      <c r="B1456" s="3"/>
      <c r="C1456" s="90">
        <v>0</v>
      </c>
      <c r="D1456" s="90">
        <v>0</v>
      </c>
      <c r="E1456" s="90">
        <v>0</v>
      </c>
      <c r="F1456" s="90">
        <v>0</v>
      </c>
      <c r="G1456" s="90">
        <v>0</v>
      </c>
      <c r="H1456" s="90">
        <v>0</v>
      </c>
      <c r="I1456" s="90">
        <v>0</v>
      </c>
      <c r="J1456" s="90">
        <v>0</v>
      </c>
      <c r="K1456" s="90">
        <v>0</v>
      </c>
      <c r="L1456" s="90">
        <v>0</v>
      </c>
      <c r="M1456" s="90">
        <v>0</v>
      </c>
    </row>
    <row r="1457">
      <c r="A1457" s="3" t="s">
        <v>546</v>
      </c>
      <c r="B1457" s="3"/>
      <c r="C1457" s="90">
        <v>0</v>
      </c>
      <c r="D1457" s="90">
        <v>0</v>
      </c>
      <c r="E1457" s="90">
        <v>0</v>
      </c>
      <c r="F1457" s="90">
        <v>0</v>
      </c>
      <c r="G1457" s="90">
        <v>0</v>
      </c>
      <c r="H1457" s="90">
        <v>0</v>
      </c>
      <c r="I1457" s="90">
        <v>0</v>
      </c>
      <c r="J1457" s="90">
        <v>0</v>
      </c>
      <c r="K1457" s="90">
        <v>0</v>
      </c>
      <c r="L1457" s="90">
        <v>0</v>
      </c>
      <c r="M1457" s="90">
        <v>0</v>
      </c>
    </row>
    <row r="1458">
      <c r="A1458" s="3" t="s">
        <v>547</v>
      </c>
      <c r="B1458" s="3"/>
      <c r="C1458" s="90">
        <v>0</v>
      </c>
      <c r="D1458" s="90">
        <v>0</v>
      </c>
      <c r="E1458" s="90">
        <v>0</v>
      </c>
      <c r="F1458" s="90">
        <v>0</v>
      </c>
      <c r="G1458" s="90">
        <v>0</v>
      </c>
      <c r="H1458" s="90">
        <v>0</v>
      </c>
      <c r="I1458" s="90">
        <v>0</v>
      </c>
      <c r="J1458" s="90">
        <v>0</v>
      </c>
      <c r="K1458" s="90">
        <v>0</v>
      </c>
      <c r="L1458" s="90">
        <v>0</v>
      </c>
      <c r="M1458" s="90">
        <v>0</v>
      </c>
    </row>
    <row r="1459">
      <c r="A1459" s="3" t="s">
        <v>548</v>
      </c>
      <c r="B1459" s="3"/>
      <c r="C1459" s="90">
        <v>0</v>
      </c>
      <c r="D1459" s="90">
        <v>0</v>
      </c>
      <c r="E1459" s="90">
        <v>0</v>
      </c>
      <c r="F1459" s="90">
        <v>0</v>
      </c>
      <c r="G1459" s="90">
        <v>0</v>
      </c>
      <c r="H1459" s="90">
        <v>0</v>
      </c>
      <c r="I1459" s="90">
        <v>0</v>
      </c>
      <c r="J1459" s="90">
        <v>0</v>
      </c>
      <c r="K1459" s="90">
        <v>0</v>
      </c>
      <c r="L1459" s="90">
        <v>0</v>
      </c>
      <c r="M1459" s="90">
        <v>0</v>
      </c>
    </row>
    <row r="1460">
      <c r="A1460" s="3" t="s">
        <v>549</v>
      </c>
      <c r="B1460" s="3"/>
      <c r="C1460" s="90">
        <v>0</v>
      </c>
      <c r="D1460" s="90">
        <v>0</v>
      </c>
      <c r="E1460" s="90">
        <v>0</v>
      </c>
      <c r="F1460" s="90">
        <v>0</v>
      </c>
      <c r="G1460" s="90">
        <v>0</v>
      </c>
      <c r="H1460" s="90">
        <v>0</v>
      </c>
      <c r="I1460" s="90">
        <v>0</v>
      </c>
      <c r="J1460" s="90">
        <v>0</v>
      </c>
      <c r="K1460" s="90">
        <v>0</v>
      </c>
      <c r="L1460" s="90">
        <v>0</v>
      </c>
      <c r="M1460" s="90">
        <v>0</v>
      </c>
    </row>
    <row r="1461">
      <c r="A1461" s="3" t="s">
        <v>550</v>
      </c>
      <c r="B1461" s="3"/>
      <c r="C1461" s="90">
        <v>0</v>
      </c>
      <c r="D1461" s="90">
        <v>0</v>
      </c>
      <c r="E1461" s="90">
        <v>0</v>
      </c>
      <c r="F1461" s="90">
        <v>0</v>
      </c>
      <c r="G1461" s="90">
        <v>0</v>
      </c>
      <c r="H1461" s="90">
        <v>0</v>
      </c>
      <c r="I1461" s="90">
        <v>0</v>
      </c>
      <c r="J1461" s="90">
        <v>0</v>
      </c>
      <c r="K1461" s="90">
        <v>0</v>
      </c>
      <c r="L1461" s="90">
        <v>0</v>
      </c>
      <c r="M1461" s="90">
        <v>0</v>
      </c>
    </row>
    <row r="1462">
      <c r="A1462" s="3" t="s">
        <v>551</v>
      </c>
      <c r="B1462" s="3"/>
      <c r="C1462" s="90">
        <v>0</v>
      </c>
      <c r="D1462" s="90">
        <v>0</v>
      </c>
      <c r="E1462" s="90"/>
      <c r="F1462" s="90">
        <v>0</v>
      </c>
      <c r="G1462" s="90"/>
      <c r="H1462" s="90">
        <v>0</v>
      </c>
      <c r="I1462" s="90"/>
      <c r="J1462" s="90"/>
      <c r="K1462" s="90"/>
      <c r="L1462" s="90"/>
      <c r="M1462" s="90">
        <v>0</v>
      </c>
    </row>
    <row r="1464">
      <c r="A1464" s="25" t="s">
        <v>165</v>
      </c>
      <c r="B1464" s="25"/>
      <c r="C1464" s="25"/>
      <c r="D1464" s="25"/>
      <c r="E1464" s="25"/>
      <c r="F1464" s="25"/>
      <c r="G1464" s="25"/>
      <c r="H1464" s="25"/>
      <c r="I1464" s="25"/>
      <c r="J1464" s="25"/>
      <c r="K1464" s="25"/>
      <c r="L1464" s="24"/>
      <c r="M1464" s="24"/>
    </row>
    <row r="1467">
      <c r="A1467" s="22" t="s">
        <v>363</v>
      </c>
      <c r="C1467" s="22" t="s">
        <v>502</v>
      </c>
      <c r="D1467" s="22"/>
      <c r="E1467" s="22"/>
      <c r="F1467" s="22"/>
      <c r="G1467" s="22"/>
      <c r="H1467" s="22"/>
      <c r="I1467" s="22"/>
      <c r="J1467" s="22"/>
      <c r="K1467" s="22"/>
      <c r="L1467" s="22"/>
      <c r="M1467" s="22"/>
    </row>
    <row r="1468">
      <c r="A1468" s="22"/>
      <c r="C1468" s="22">
        <v>2026</v>
      </c>
      <c r="D1468" s="22">
        <v>2027</v>
      </c>
      <c r="E1468" s="22">
        <v>2028</v>
      </c>
      <c r="F1468" s="22">
        <v>2029</v>
      </c>
      <c r="G1468" s="22">
        <v>2030</v>
      </c>
      <c r="H1468" s="22">
        <v>2031</v>
      </c>
      <c r="I1468" s="22">
        <v>2032</v>
      </c>
      <c r="J1468" s="22">
        <v>2033</v>
      </c>
      <c r="K1468" s="22">
        <v>2034</v>
      </c>
      <c r="L1468" s="22">
        <v>2035</v>
      </c>
      <c r="M1468" s="22">
        <v>2036</v>
      </c>
    </row>
    <row r="1469">
      <c r="A1469" s="3" t="s">
        <v>504</v>
      </c>
      <c r="B1469" s="3"/>
      <c r="C1469" s="82">
        <v>0</v>
      </c>
      <c r="D1469" s="82">
        <v>0</v>
      </c>
      <c r="E1469" s="82">
        <v>0</v>
      </c>
      <c r="F1469" s="82">
        <v>0</v>
      </c>
      <c r="G1469" s="82">
        <v>0</v>
      </c>
      <c r="H1469" s="82">
        <v>0</v>
      </c>
      <c r="I1469" s="82">
        <v>0</v>
      </c>
      <c r="J1469" s="82">
        <v>0</v>
      </c>
      <c r="K1469" s="82">
        <v>0</v>
      </c>
      <c r="L1469" s="82">
        <v>0</v>
      </c>
      <c r="M1469" s="82">
        <v>0</v>
      </c>
    </row>
    <row r="1470">
      <c r="A1470" s="3" t="s">
        <v>506</v>
      </c>
      <c r="B1470" s="3"/>
      <c r="C1470" s="83">
        <v>0</v>
      </c>
      <c r="D1470" s="83">
        <v>0</v>
      </c>
      <c r="E1470" s="83">
        <v>0</v>
      </c>
      <c r="F1470" s="83">
        <v>0</v>
      </c>
      <c r="G1470" s="83">
        <v>0</v>
      </c>
      <c r="H1470" s="83">
        <v>0</v>
      </c>
      <c r="I1470" s="83">
        <v>0</v>
      </c>
      <c r="J1470" s="83">
        <v>0</v>
      </c>
      <c r="K1470" s="83">
        <v>0</v>
      </c>
      <c r="L1470" s="83">
        <v>0</v>
      </c>
      <c r="M1470" s="83">
        <v>0</v>
      </c>
    </row>
    <row r="1471">
      <c r="A1471" s="3" t="s">
        <v>507</v>
      </c>
      <c r="B1471" s="3"/>
      <c r="C1471" s="83">
        <v>0</v>
      </c>
      <c r="D1471" s="83">
        <v>0</v>
      </c>
      <c r="E1471" s="83">
        <v>0</v>
      </c>
      <c r="F1471" s="83">
        <v>0</v>
      </c>
      <c r="G1471" s="83">
        <v>0</v>
      </c>
      <c r="H1471" s="83">
        <v>0</v>
      </c>
      <c r="I1471" s="83">
        <v>0</v>
      </c>
      <c r="J1471" s="83">
        <v>0</v>
      </c>
      <c r="K1471" s="83">
        <v>0</v>
      </c>
      <c r="L1471" s="83">
        <v>0</v>
      </c>
      <c r="M1471" s="83">
        <v>0</v>
      </c>
    </row>
    <row r="1472">
      <c r="A1472" s="3" t="s">
        <v>508</v>
      </c>
      <c r="B1472" s="3"/>
      <c r="C1472" s="83">
        <v>0</v>
      </c>
      <c r="D1472" s="83">
        <v>0</v>
      </c>
      <c r="E1472" s="83">
        <v>0</v>
      </c>
      <c r="F1472" s="83">
        <v>0</v>
      </c>
      <c r="G1472" s="83">
        <v>0</v>
      </c>
      <c r="H1472" s="83">
        <v>0</v>
      </c>
      <c r="I1472" s="83">
        <v>0</v>
      </c>
      <c r="J1472" s="83">
        <v>0</v>
      </c>
      <c r="K1472" s="83">
        <v>0</v>
      </c>
      <c r="L1472" s="83">
        <v>0</v>
      </c>
      <c r="M1472" s="83">
        <v>0</v>
      </c>
    </row>
    <row r="1473">
      <c r="A1473" s="3" t="s">
        <v>509</v>
      </c>
      <c r="B1473" s="3"/>
      <c r="C1473" s="83">
        <v>0</v>
      </c>
      <c r="D1473" s="83">
        <v>0</v>
      </c>
      <c r="E1473" s="83">
        <v>0</v>
      </c>
      <c r="F1473" s="83">
        <v>0</v>
      </c>
      <c r="G1473" s="83">
        <v>0</v>
      </c>
      <c r="H1473" s="83">
        <v>0</v>
      </c>
      <c r="I1473" s="83">
        <v>0</v>
      </c>
      <c r="J1473" s="83">
        <v>0</v>
      </c>
      <c r="K1473" s="83">
        <v>0</v>
      </c>
      <c r="L1473" s="83">
        <v>0</v>
      </c>
      <c r="M1473" s="83">
        <v>0</v>
      </c>
    </row>
    <row r="1474">
      <c r="A1474" s="3" t="s">
        <v>510</v>
      </c>
      <c r="B1474" s="3"/>
      <c r="C1474" s="83">
        <v>0</v>
      </c>
      <c r="D1474" s="83">
        <v>0</v>
      </c>
      <c r="E1474" s="83">
        <v>0</v>
      </c>
      <c r="F1474" s="83">
        <v>0</v>
      </c>
      <c r="G1474" s="83">
        <v>0</v>
      </c>
      <c r="H1474" s="83">
        <v>0</v>
      </c>
      <c r="I1474" s="83">
        <v>0</v>
      </c>
      <c r="J1474" s="83">
        <v>0</v>
      </c>
      <c r="K1474" s="83">
        <v>0</v>
      </c>
      <c r="L1474" s="83">
        <v>0</v>
      </c>
      <c r="M1474" s="83">
        <v>0</v>
      </c>
    </row>
    <row r="1478">
      <c r="A1478" s="22" t="s">
        <v>529</v>
      </c>
      <c r="C1478" s="22" t="s">
        <v>363</v>
      </c>
      <c r="D1478" s="22"/>
      <c r="E1478" s="22"/>
      <c r="F1478" s="22"/>
      <c r="G1478" s="22"/>
      <c r="H1478" s="22"/>
      <c r="I1478" s="22"/>
      <c r="J1478" s="22"/>
      <c r="K1478" s="22"/>
      <c r="L1478" s="22"/>
      <c r="M1478" s="22"/>
    </row>
    <row r="1479">
      <c r="A1479" s="22"/>
      <c r="B1479" s="3"/>
      <c r="C1479" s="22">
        <v>2026</v>
      </c>
      <c r="D1479" s="22">
        <v>2027</v>
      </c>
      <c r="E1479" s="22">
        <v>2028</v>
      </c>
      <c r="F1479" s="22">
        <v>2029</v>
      </c>
      <c r="G1479" s="22">
        <v>2030</v>
      </c>
      <c r="H1479" s="22">
        <v>2031</v>
      </c>
      <c r="I1479" s="22">
        <v>2032</v>
      </c>
      <c r="J1479" s="22">
        <v>2033</v>
      </c>
      <c r="K1479" s="22">
        <v>2034</v>
      </c>
      <c r="L1479" s="22">
        <v>2035</v>
      </c>
      <c r="M1479" s="22">
        <v>2036</v>
      </c>
      <c r="N1479" s="22" t="s">
        <v>530</v>
      </c>
    </row>
    <row r="1480">
      <c r="A1480" s="3" t="s">
        <v>117</v>
      </c>
      <c r="B1480" s="3"/>
      <c r="C1480" s="74">
        <v>0</v>
      </c>
      <c r="D1480" s="74">
        <v>0</v>
      </c>
      <c r="E1480" s="74">
        <v>0</v>
      </c>
      <c r="F1480" s="74">
        <v>0</v>
      </c>
      <c r="G1480" s="74">
        <v>0</v>
      </c>
      <c r="H1480" s="74">
        <v>0</v>
      </c>
      <c r="I1480" s="74">
        <v>0</v>
      </c>
      <c r="J1480" s="74">
        <v>0</v>
      </c>
      <c r="K1480" s="74">
        <v>0</v>
      </c>
      <c r="L1480" s="74">
        <v>0</v>
      </c>
      <c r="M1480" s="74">
        <v>0</v>
      </c>
      <c r="N1480" s="78">
        <f>Sum(C1480:M1480)</f>
        <v>0</v>
      </c>
      <c r="O1480" s="76" t="e">
        <f>(N1480/N1487)</f>
        <v>#DIV/0!</v>
      </c>
      <c r="P1480" s="0" t="s">
        <v>531</v>
      </c>
    </row>
    <row r="1481">
      <c r="A1481" s="3" t="s">
        <v>121</v>
      </c>
      <c r="B1481" s="3"/>
      <c r="C1481" s="74">
        <v>0</v>
      </c>
      <c r="D1481" s="74">
        <v>0</v>
      </c>
      <c r="E1481" s="74">
        <v>0</v>
      </c>
      <c r="F1481" s="74">
        <v>0</v>
      </c>
      <c r="G1481" s="74">
        <v>0</v>
      </c>
      <c r="H1481" s="74">
        <v>0</v>
      </c>
      <c r="I1481" s="74">
        <v>0</v>
      </c>
      <c r="J1481" s="74">
        <v>0</v>
      </c>
      <c r="K1481" s="74">
        <v>0</v>
      </c>
      <c r="L1481" s="74">
        <v>0</v>
      </c>
      <c r="M1481" s="74">
        <v>0</v>
      </c>
      <c r="N1481" s="78">
        <f>Sum(C1481:M1481)</f>
        <v>0</v>
      </c>
      <c r="O1481" s="76" t="e">
        <f>(N1481/N1487)</f>
        <v>#DIV/0!</v>
      </c>
      <c r="P1481" s="0" t="s">
        <v>532</v>
      </c>
    </row>
    <row r="1482">
      <c r="A1482" s="3" t="s">
        <v>122</v>
      </c>
      <c r="B1482" s="3"/>
      <c r="C1482" s="74">
        <v>0</v>
      </c>
      <c r="D1482" s="74">
        <v>0</v>
      </c>
      <c r="E1482" s="74">
        <v>0</v>
      </c>
      <c r="F1482" s="74">
        <v>0</v>
      </c>
      <c r="G1482" s="74">
        <v>0</v>
      </c>
      <c r="H1482" s="74">
        <v>0</v>
      </c>
      <c r="I1482" s="74">
        <v>0</v>
      </c>
      <c r="J1482" s="74">
        <v>0</v>
      </c>
      <c r="K1482" s="74">
        <v>0</v>
      </c>
      <c r="L1482" s="74">
        <v>0</v>
      </c>
      <c r="M1482" s="74">
        <v>0</v>
      </c>
      <c r="N1482" s="78">
        <f>Sum(C1482:M1482)</f>
        <v>0</v>
      </c>
      <c r="O1482" s="76" t="e">
        <f>(N1482/N1487)</f>
        <v>#DIV/0!</v>
      </c>
      <c r="P1482" s="0" t="s">
        <v>533</v>
      </c>
    </row>
    <row r="1483">
      <c r="A1483" s="3" t="s">
        <v>124</v>
      </c>
      <c r="B1483" s="3"/>
      <c r="C1483" s="74">
        <v>0</v>
      </c>
      <c r="D1483" s="74">
        <v>0</v>
      </c>
      <c r="E1483" s="74">
        <v>0</v>
      </c>
      <c r="F1483" s="74">
        <v>0</v>
      </c>
      <c r="G1483" s="74">
        <v>0</v>
      </c>
      <c r="H1483" s="74">
        <v>0</v>
      </c>
      <c r="I1483" s="74">
        <v>0</v>
      </c>
      <c r="J1483" s="74">
        <v>0</v>
      </c>
      <c r="K1483" s="74">
        <v>0</v>
      </c>
      <c r="L1483" s="74">
        <v>0</v>
      </c>
      <c r="M1483" s="74">
        <v>0</v>
      </c>
      <c r="N1483" s="78">
        <f>Sum(C1483:M1483)</f>
        <v>0</v>
      </c>
      <c r="O1483" s="76" t="e">
        <f>(N1483/N1487)</f>
        <v>#DIV/0!</v>
      </c>
      <c r="P1483" s="0" t="s">
        <v>534</v>
      </c>
    </row>
    <row r="1484">
      <c r="A1484" s="3" t="s">
        <v>535</v>
      </c>
      <c r="B1484" s="3"/>
      <c r="C1484" s="74">
        <v>0</v>
      </c>
      <c r="D1484" s="74">
        <v>0</v>
      </c>
      <c r="E1484" s="74">
        <v>0</v>
      </c>
      <c r="F1484" s="74">
        <v>0</v>
      </c>
      <c r="G1484" s="74">
        <v>0</v>
      </c>
      <c r="H1484" s="74">
        <v>0</v>
      </c>
      <c r="I1484" s="74">
        <v>0</v>
      </c>
      <c r="J1484" s="74">
        <v>0</v>
      </c>
      <c r="K1484" s="74">
        <v>0</v>
      </c>
      <c r="L1484" s="74">
        <v>0</v>
      </c>
      <c r="M1484" s="74">
        <v>0</v>
      </c>
      <c r="N1484" s="78">
        <f>Sum(C1484:M1484)</f>
        <v>0</v>
      </c>
      <c r="O1484" s="76" t="e">
        <f>(N1484/N1487)</f>
        <v>#DIV/0!</v>
      </c>
      <c r="P1484" s="0" t="s">
        <v>536</v>
      </c>
    </row>
    <row r="1485">
      <c r="A1485" s="3" t="s">
        <v>537</v>
      </c>
      <c r="B1485" s="3"/>
      <c r="C1485" s="74">
        <v>0</v>
      </c>
      <c r="D1485" s="74">
        <v>0</v>
      </c>
      <c r="E1485" s="74">
        <v>0</v>
      </c>
      <c r="F1485" s="74">
        <v>0</v>
      </c>
      <c r="G1485" s="74">
        <v>0</v>
      </c>
      <c r="H1485" s="74">
        <v>0</v>
      </c>
      <c r="I1485" s="74">
        <v>0</v>
      </c>
      <c r="J1485" s="74">
        <v>0</v>
      </c>
      <c r="K1485" s="74">
        <v>0</v>
      </c>
      <c r="L1485" s="74">
        <v>0</v>
      </c>
      <c r="M1485" s="74">
        <v>0</v>
      </c>
      <c r="N1485" s="78">
        <f>Sum(C1485:M1485)</f>
        <v>0</v>
      </c>
      <c r="O1485" s="76" t="e">
        <f>(N1485/N1487)</f>
        <v>#DIV/0!</v>
      </c>
      <c r="P1485" s="0" t="s">
        <v>538</v>
      </c>
    </row>
    <row r="1486">
      <c r="A1486" s="3" t="s">
        <v>539</v>
      </c>
      <c r="B1486" s="3"/>
      <c r="C1486" s="74">
        <v>0</v>
      </c>
      <c r="D1486" s="74">
        <v>0</v>
      </c>
      <c r="E1486" s="74">
        <v>0</v>
      </c>
      <c r="F1486" s="74">
        <v>0</v>
      </c>
      <c r="G1486" s="74">
        <v>0</v>
      </c>
      <c r="H1486" s="74">
        <v>0</v>
      </c>
      <c r="I1486" s="74">
        <v>0</v>
      </c>
      <c r="J1486" s="74">
        <v>0</v>
      </c>
      <c r="K1486" s="74">
        <v>0</v>
      </c>
      <c r="L1486" s="74">
        <v>0</v>
      </c>
      <c r="M1486" s="74">
        <v>0</v>
      </c>
      <c r="N1486" s="78">
        <f>Sum(C1486:M1486)</f>
        <v>0</v>
      </c>
      <c r="O1486" s="76" t="e">
        <f>(N1486/N1487)</f>
        <v>#DIV/0!</v>
      </c>
      <c r="P1486" s="0" t="s">
        <v>540</v>
      </c>
    </row>
    <row r="1487">
      <c r="A1487" s="3" t="s">
        <v>541</v>
      </c>
      <c r="B1487" s="3"/>
      <c r="C1487" s="74"/>
      <c r="D1487" s="74"/>
      <c r="E1487" s="74"/>
      <c r="F1487" s="74"/>
      <c r="G1487" s="74"/>
      <c r="H1487" s="74"/>
      <c r="I1487" s="74"/>
      <c r="J1487" s="74"/>
      <c r="K1487" s="74"/>
      <c r="L1487" s="74"/>
      <c r="M1487" s="74"/>
      <c r="N1487" s="78">
        <f>Sum(C1487:M1487)</f>
        <v>0</v>
      </c>
    </row>
    <row r="1488">
      <c r="A1488" s="3"/>
      <c r="B1488" s="3"/>
      <c r="C1488" s="74"/>
      <c r="D1488" s="74"/>
      <c r="E1488" s="74"/>
      <c r="F1488" s="74"/>
      <c r="G1488" s="74"/>
      <c r="H1488" s="74"/>
      <c r="I1488" s="74"/>
      <c r="J1488" s="74"/>
      <c r="K1488" s="74"/>
      <c r="L1488" s="74"/>
      <c r="M1488" s="74"/>
      <c r="N1488" s="78"/>
    </row>
    <row r="1489">
      <c r="A1489" s="3" t="s">
        <v>542</v>
      </c>
      <c r="B1489" s="3"/>
      <c r="C1489" s="74">
        <v>0</v>
      </c>
      <c r="D1489" s="74">
        <v>0</v>
      </c>
      <c r="E1489" s="74">
        <v>0</v>
      </c>
      <c r="F1489" s="74">
        <v>0</v>
      </c>
      <c r="G1489" s="74">
        <v>0</v>
      </c>
      <c r="H1489" s="74">
        <v>0</v>
      </c>
      <c r="I1489" s="74">
        <v>0</v>
      </c>
      <c r="J1489" s="74">
        <v>0</v>
      </c>
      <c r="K1489" s="74">
        <v>0</v>
      </c>
      <c r="L1489" s="74">
        <v>0</v>
      </c>
      <c r="M1489" s="74">
        <v>0</v>
      </c>
      <c r="N1489" s="78">
        <f>Sum(C1489:M1489)</f>
        <v>0</v>
      </c>
    </row>
    <row r="1491">
      <c r="A1491" s="22" t="s">
        <v>543</v>
      </c>
      <c r="C1491" s="22" t="s">
        <v>363</v>
      </c>
      <c r="D1491" s="22"/>
      <c r="E1491" s="22"/>
      <c r="F1491" s="22"/>
      <c r="G1491" s="22"/>
      <c r="H1491" s="22"/>
      <c r="I1491" s="22"/>
      <c r="J1491" s="22"/>
      <c r="K1491" s="22"/>
      <c r="L1491" s="22"/>
      <c r="M1491" s="22"/>
    </row>
    <row r="1492">
      <c r="A1492" s="22"/>
      <c r="C1492" s="22">
        <v>2026</v>
      </c>
      <c r="D1492" s="22">
        <v>2027</v>
      </c>
      <c r="E1492" s="22">
        <v>2028</v>
      </c>
      <c r="F1492" s="22">
        <v>2029</v>
      </c>
      <c r="G1492" s="22">
        <v>2030</v>
      </c>
      <c r="H1492" s="22">
        <v>2031</v>
      </c>
      <c r="I1492" s="22">
        <v>2032</v>
      </c>
      <c r="J1492" s="22">
        <v>2033</v>
      </c>
      <c r="K1492" s="22">
        <v>2034</v>
      </c>
      <c r="L1492" s="22">
        <v>2035</v>
      </c>
      <c r="M1492" s="22">
        <v>2036</v>
      </c>
    </row>
    <row r="1493">
      <c r="A1493" s="3"/>
      <c r="B1493" s="3"/>
      <c r="C1493" s="74"/>
      <c r="D1493" s="74"/>
      <c r="E1493" s="74"/>
      <c r="F1493" s="74"/>
      <c r="G1493" s="74"/>
      <c r="H1493" s="74"/>
      <c r="I1493" s="74"/>
      <c r="J1493" s="74"/>
      <c r="K1493" s="74"/>
      <c r="L1493" s="74"/>
      <c r="M1493" s="74"/>
      <c r="N1493" s="78">
        <f>Sum(C1493:M1493)</f>
        <v>0</v>
      </c>
    </row>
    <row r="1496">
      <c r="A1496" s="22" t="s">
        <v>473</v>
      </c>
      <c r="C1496" s="22" t="s">
        <v>544</v>
      </c>
      <c r="D1496" s="22"/>
      <c r="E1496" s="22"/>
      <c r="F1496" s="22"/>
      <c r="G1496" s="22"/>
      <c r="H1496" s="22"/>
      <c r="I1496" s="22"/>
      <c r="J1496" s="22"/>
      <c r="K1496" s="22"/>
      <c r="L1496" s="22"/>
      <c r="M1496" s="22"/>
    </row>
    <row r="1497">
      <c r="A1497" s="22"/>
      <c r="C1497" s="22">
        <v>2026</v>
      </c>
      <c r="D1497" s="22">
        <v>2027</v>
      </c>
      <c r="E1497" s="22">
        <v>2028</v>
      </c>
      <c r="F1497" s="22">
        <v>2029</v>
      </c>
      <c r="G1497" s="22">
        <v>2030</v>
      </c>
      <c r="H1497" s="22">
        <v>2031</v>
      </c>
      <c r="I1497" s="22">
        <v>2032</v>
      </c>
      <c r="J1497" s="22">
        <v>2033</v>
      </c>
      <c r="K1497" s="22">
        <v>2034</v>
      </c>
      <c r="L1497" s="22">
        <v>2035</v>
      </c>
      <c r="M1497" s="22">
        <v>2036</v>
      </c>
    </row>
    <row r="1498">
      <c r="A1498" s="3" t="s">
        <v>545</v>
      </c>
      <c r="B1498" s="3"/>
      <c r="C1498" s="90">
        <v>0</v>
      </c>
      <c r="D1498" s="90">
        <v>0</v>
      </c>
      <c r="E1498" s="90">
        <v>0</v>
      </c>
      <c r="F1498" s="90">
        <v>0</v>
      </c>
      <c r="G1498" s="90">
        <v>0</v>
      </c>
      <c r="H1498" s="90">
        <v>0</v>
      </c>
      <c r="I1498" s="90">
        <v>0</v>
      </c>
      <c r="J1498" s="90">
        <v>0</v>
      </c>
      <c r="K1498" s="90">
        <v>0</v>
      </c>
      <c r="L1498" s="90">
        <v>0</v>
      </c>
      <c r="M1498" s="90">
        <v>0</v>
      </c>
    </row>
    <row r="1499">
      <c r="A1499" s="3" t="s">
        <v>546</v>
      </c>
      <c r="B1499" s="3"/>
      <c r="C1499" s="90">
        <v>0</v>
      </c>
      <c r="D1499" s="90">
        <v>0</v>
      </c>
      <c r="E1499" s="90">
        <v>0</v>
      </c>
      <c r="F1499" s="90">
        <v>0</v>
      </c>
      <c r="G1499" s="90">
        <v>0</v>
      </c>
      <c r="H1499" s="90">
        <v>0</v>
      </c>
      <c r="I1499" s="90">
        <v>0</v>
      </c>
      <c r="J1499" s="90">
        <v>0</v>
      </c>
      <c r="K1499" s="90">
        <v>0</v>
      </c>
      <c r="L1499" s="90">
        <v>0</v>
      </c>
      <c r="M1499" s="90">
        <v>0</v>
      </c>
    </row>
    <row r="1500">
      <c r="A1500" s="3" t="s">
        <v>547</v>
      </c>
      <c r="B1500" s="3"/>
      <c r="C1500" s="90">
        <v>0</v>
      </c>
      <c r="D1500" s="90">
        <v>0</v>
      </c>
      <c r="E1500" s="90">
        <v>0</v>
      </c>
      <c r="F1500" s="90">
        <v>0</v>
      </c>
      <c r="G1500" s="90">
        <v>0</v>
      </c>
      <c r="H1500" s="90">
        <v>0</v>
      </c>
      <c r="I1500" s="90">
        <v>0</v>
      </c>
      <c r="J1500" s="90">
        <v>0</v>
      </c>
      <c r="K1500" s="90">
        <v>0</v>
      </c>
      <c r="L1500" s="90">
        <v>0</v>
      </c>
      <c r="M1500" s="90">
        <v>0</v>
      </c>
    </row>
    <row r="1501">
      <c r="A1501" s="3" t="s">
        <v>548</v>
      </c>
      <c r="B1501" s="3"/>
      <c r="C1501" s="90">
        <v>0</v>
      </c>
      <c r="D1501" s="90">
        <v>0</v>
      </c>
      <c r="E1501" s="90">
        <v>0</v>
      </c>
      <c r="F1501" s="90">
        <v>0</v>
      </c>
      <c r="G1501" s="90">
        <v>0</v>
      </c>
      <c r="H1501" s="90">
        <v>0</v>
      </c>
      <c r="I1501" s="90">
        <v>0</v>
      </c>
      <c r="J1501" s="90">
        <v>0</v>
      </c>
      <c r="K1501" s="90">
        <v>0</v>
      </c>
      <c r="L1501" s="90">
        <v>0</v>
      </c>
      <c r="M1501" s="90">
        <v>0</v>
      </c>
    </row>
    <row r="1502">
      <c r="A1502" s="3" t="s">
        <v>549</v>
      </c>
      <c r="B1502" s="3"/>
      <c r="C1502" s="90">
        <v>0</v>
      </c>
      <c r="D1502" s="90">
        <v>0</v>
      </c>
      <c r="E1502" s="90">
        <v>0</v>
      </c>
      <c r="F1502" s="90">
        <v>0</v>
      </c>
      <c r="G1502" s="90">
        <v>0</v>
      </c>
      <c r="H1502" s="90">
        <v>0</v>
      </c>
      <c r="I1502" s="90">
        <v>0</v>
      </c>
      <c r="J1502" s="90">
        <v>0</v>
      </c>
      <c r="K1502" s="90">
        <v>0</v>
      </c>
      <c r="L1502" s="90">
        <v>0</v>
      </c>
      <c r="M1502" s="90">
        <v>0</v>
      </c>
    </row>
    <row r="1503">
      <c r="A1503" s="3" t="s">
        <v>550</v>
      </c>
      <c r="B1503" s="3"/>
      <c r="C1503" s="90">
        <v>0</v>
      </c>
      <c r="D1503" s="90">
        <v>0</v>
      </c>
      <c r="E1503" s="90">
        <v>0</v>
      </c>
      <c r="F1503" s="90">
        <v>0</v>
      </c>
      <c r="G1503" s="90">
        <v>0</v>
      </c>
      <c r="H1503" s="90">
        <v>0</v>
      </c>
      <c r="I1503" s="90">
        <v>0</v>
      </c>
      <c r="J1503" s="90">
        <v>0</v>
      </c>
      <c r="K1503" s="90">
        <v>0</v>
      </c>
      <c r="L1503" s="90">
        <v>0</v>
      </c>
      <c r="M1503" s="90">
        <v>0</v>
      </c>
    </row>
    <row r="1504">
      <c r="A1504" s="3" t="s">
        <v>551</v>
      </c>
      <c r="B1504" s="3"/>
      <c r="C1504" s="90">
        <v>0</v>
      </c>
      <c r="D1504" s="90">
        <v>0</v>
      </c>
      <c r="E1504" s="90"/>
      <c r="F1504" s="90">
        <v>0</v>
      </c>
      <c r="G1504" s="90"/>
      <c r="H1504" s="90">
        <v>0</v>
      </c>
      <c r="I1504" s="90"/>
      <c r="J1504" s="90"/>
      <c r="K1504" s="90"/>
      <c r="L1504" s="90"/>
      <c r="M1504" s="90">
        <v>0</v>
      </c>
    </row>
    <row r="1506">
      <c r="A1506" s="25" t="s">
        <v>166</v>
      </c>
      <c r="B1506" s="25"/>
      <c r="C1506" s="25"/>
      <c r="D1506" s="25"/>
      <c r="E1506" s="25"/>
      <c r="F1506" s="25"/>
      <c r="G1506" s="25"/>
      <c r="H1506" s="25"/>
      <c r="I1506" s="25"/>
      <c r="J1506" s="25"/>
      <c r="K1506" s="25"/>
      <c r="L1506" s="24"/>
      <c r="M1506" s="24"/>
    </row>
    <row r="1509">
      <c r="A1509" s="22" t="s">
        <v>363</v>
      </c>
      <c r="C1509" s="22" t="s">
        <v>502</v>
      </c>
      <c r="D1509" s="22"/>
      <c r="E1509" s="22"/>
      <c r="F1509" s="22"/>
      <c r="G1509" s="22"/>
      <c r="H1509" s="22"/>
      <c r="I1509" s="22"/>
      <c r="J1509" s="22"/>
      <c r="K1509" s="22"/>
      <c r="L1509" s="22"/>
      <c r="M1509" s="22"/>
    </row>
    <row r="1510">
      <c r="A1510" s="22"/>
      <c r="C1510" s="22">
        <v>2026</v>
      </c>
      <c r="D1510" s="22">
        <v>2027</v>
      </c>
      <c r="E1510" s="22">
        <v>2028</v>
      </c>
      <c r="F1510" s="22">
        <v>2029</v>
      </c>
      <c r="G1510" s="22">
        <v>2030</v>
      </c>
      <c r="H1510" s="22">
        <v>2031</v>
      </c>
      <c r="I1510" s="22">
        <v>2032</v>
      </c>
      <c r="J1510" s="22">
        <v>2033</v>
      </c>
      <c r="K1510" s="22">
        <v>2034</v>
      </c>
      <c r="L1510" s="22">
        <v>2035</v>
      </c>
      <c r="M1510" s="22">
        <v>2036</v>
      </c>
    </row>
    <row r="1511">
      <c r="A1511" s="3" t="s">
        <v>504</v>
      </c>
      <c r="B1511" s="3"/>
      <c r="C1511" s="82">
        <v>0</v>
      </c>
      <c r="D1511" s="82">
        <v>0</v>
      </c>
      <c r="E1511" s="82">
        <v>0</v>
      </c>
      <c r="F1511" s="82">
        <v>0</v>
      </c>
      <c r="G1511" s="82">
        <v>0</v>
      </c>
      <c r="H1511" s="82">
        <v>0</v>
      </c>
      <c r="I1511" s="82">
        <v>0</v>
      </c>
      <c r="J1511" s="82">
        <v>0</v>
      </c>
      <c r="K1511" s="82">
        <v>0</v>
      </c>
      <c r="L1511" s="82">
        <v>0</v>
      </c>
      <c r="M1511" s="82">
        <v>0</v>
      </c>
    </row>
    <row r="1512">
      <c r="A1512" s="3" t="s">
        <v>506</v>
      </c>
      <c r="B1512" s="3"/>
      <c r="C1512" s="83">
        <v>0</v>
      </c>
      <c r="D1512" s="83">
        <v>0</v>
      </c>
      <c r="E1512" s="83">
        <v>0</v>
      </c>
      <c r="F1512" s="83">
        <v>0</v>
      </c>
      <c r="G1512" s="83">
        <v>0</v>
      </c>
      <c r="H1512" s="83">
        <v>0</v>
      </c>
      <c r="I1512" s="83">
        <v>0</v>
      </c>
      <c r="J1512" s="83">
        <v>0</v>
      </c>
      <c r="K1512" s="83">
        <v>0</v>
      </c>
      <c r="L1512" s="83">
        <v>0</v>
      </c>
      <c r="M1512" s="83">
        <v>0</v>
      </c>
    </row>
    <row r="1513">
      <c r="A1513" s="3" t="s">
        <v>507</v>
      </c>
      <c r="B1513" s="3"/>
      <c r="C1513" s="83">
        <v>0</v>
      </c>
      <c r="D1513" s="83">
        <v>0</v>
      </c>
      <c r="E1513" s="83">
        <v>0</v>
      </c>
      <c r="F1513" s="83">
        <v>0</v>
      </c>
      <c r="G1513" s="83">
        <v>0</v>
      </c>
      <c r="H1513" s="83">
        <v>0</v>
      </c>
      <c r="I1513" s="83">
        <v>0</v>
      </c>
      <c r="J1513" s="83">
        <v>0</v>
      </c>
      <c r="K1513" s="83">
        <v>0</v>
      </c>
      <c r="L1513" s="83">
        <v>0</v>
      </c>
      <c r="M1513" s="83">
        <v>0</v>
      </c>
    </row>
    <row r="1514">
      <c r="A1514" s="3" t="s">
        <v>508</v>
      </c>
      <c r="B1514" s="3"/>
      <c r="C1514" s="83">
        <v>0</v>
      </c>
      <c r="D1514" s="83">
        <v>0</v>
      </c>
      <c r="E1514" s="83">
        <v>0</v>
      </c>
      <c r="F1514" s="83">
        <v>0</v>
      </c>
      <c r="G1514" s="83">
        <v>0</v>
      </c>
      <c r="H1514" s="83">
        <v>0</v>
      </c>
      <c r="I1514" s="83">
        <v>0</v>
      </c>
      <c r="J1514" s="83">
        <v>0</v>
      </c>
      <c r="K1514" s="83">
        <v>0</v>
      </c>
      <c r="L1514" s="83">
        <v>0</v>
      </c>
      <c r="M1514" s="83">
        <v>0</v>
      </c>
    </row>
    <row r="1515">
      <c r="A1515" s="3" t="s">
        <v>509</v>
      </c>
      <c r="B1515" s="3"/>
      <c r="C1515" s="83">
        <v>0</v>
      </c>
      <c r="D1515" s="83">
        <v>0</v>
      </c>
      <c r="E1515" s="83">
        <v>0</v>
      </c>
      <c r="F1515" s="83">
        <v>0</v>
      </c>
      <c r="G1515" s="83">
        <v>0</v>
      </c>
      <c r="H1515" s="83">
        <v>0</v>
      </c>
      <c r="I1515" s="83">
        <v>0</v>
      </c>
      <c r="J1515" s="83">
        <v>0</v>
      </c>
      <c r="K1515" s="83">
        <v>0</v>
      </c>
      <c r="L1515" s="83">
        <v>0</v>
      </c>
      <c r="M1515" s="83">
        <v>0</v>
      </c>
    </row>
    <row r="1516">
      <c r="A1516" s="3" t="s">
        <v>510</v>
      </c>
      <c r="B1516" s="3"/>
      <c r="C1516" s="83">
        <v>0</v>
      </c>
      <c r="D1516" s="83">
        <v>0</v>
      </c>
      <c r="E1516" s="83">
        <v>0</v>
      </c>
      <c r="F1516" s="83">
        <v>0</v>
      </c>
      <c r="G1516" s="83">
        <v>0</v>
      </c>
      <c r="H1516" s="83">
        <v>0</v>
      </c>
      <c r="I1516" s="83">
        <v>0</v>
      </c>
      <c r="J1516" s="83">
        <v>0</v>
      </c>
      <c r="K1516" s="83">
        <v>0</v>
      </c>
      <c r="L1516" s="83">
        <v>0</v>
      </c>
      <c r="M1516" s="83">
        <v>0</v>
      </c>
    </row>
    <row r="1520">
      <c r="A1520" s="22" t="s">
        <v>529</v>
      </c>
      <c r="C1520" s="22" t="s">
        <v>363</v>
      </c>
      <c r="D1520" s="22"/>
      <c r="E1520" s="22"/>
      <c r="F1520" s="22"/>
      <c r="G1520" s="22"/>
      <c r="H1520" s="22"/>
      <c r="I1520" s="22"/>
      <c r="J1520" s="22"/>
      <c r="K1520" s="22"/>
      <c r="L1520" s="22"/>
      <c r="M1520" s="22"/>
    </row>
    <row r="1521">
      <c r="A1521" s="22"/>
      <c r="B1521" s="3"/>
      <c r="C1521" s="22">
        <v>2026</v>
      </c>
      <c r="D1521" s="22">
        <v>2027</v>
      </c>
      <c r="E1521" s="22">
        <v>2028</v>
      </c>
      <c r="F1521" s="22">
        <v>2029</v>
      </c>
      <c r="G1521" s="22">
        <v>2030</v>
      </c>
      <c r="H1521" s="22">
        <v>2031</v>
      </c>
      <c r="I1521" s="22">
        <v>2032</v>
      </c>
      <c r="J1521" s="22">
        <v>2033</v>
      </c>
      <c r="K1521" s="22">
        <v>2034</v>
      </c>
      <c r="L1521" s="22">
        <v>2035</v>
      </c>
      <c r="M1521" s="22">
        <v>2036</v>
      </c>
      <c r="N1521" s="22" t="s">
        <v>530</v>
      </c>
    </row>
    <row r="1522">
      <c r="A1522" s="3" t="s">
        <v>117</v>
      </c>
      <c r="B1522" s="3"/>
      <c r="C1522" s="74">
        <v>0</v>
      </c>
      <c r="D1522" s="74">
        <v>0</v>
      </c>
      <c r="E1522" s="74">
        <v>0</v>
      </c>
      <c r="F1522" s="74">
        <v>0</v>
      </c>
      <c r="G1522" s="74">
        <v>0</v>
      </c>
      <c r="H1522" s="74">
        <v>0</v>
      </c>
      <c r="I1522" s="74">
        <v>0</v>
      </c>
      <c r="J1522" s="74">
        <v>0</v>
      </c>
      <c r="K1522" s="74">
        <v>0</v>
      </c>
      <c r="L1522" s="74">
        <v>0</v>
      </c>
      <c r="M1522" s="74">
        <v>0</v>
      </c>
      <c r="N1522" s="78">
        <f>Sum(C1522:M1522)</f>
        <v>0</v>
      </c>
      <c r="O1522" s="76" t="e">
        <f>(N1522/N1529)</f>
        <v>#DIV/0!</v>
      </c>
      <c r="P1522" s="0" t="s">
        <v>531</v>
      </c>
    </row>
    <row r="1523">
      <c r="A1523" s="3" t="s">
        <v>121</v>
      </c>
      <c r="B1523" s="3"/>
      <c r="C1523" s="74">
        <v>0</v>
      </c>
      <c r="D1523" s="74">
        <v>0</v>
      </c>
      <c r="E1523" s="74">
        <v>0</v>
      </c>
      <c r="F1523" s="74">
        <v>0</v>
      </c>
      <c r="G1523" s="74">
        <v>0</v>
      </c>
      <c r="H1523" s="74">
        <v>0</v>
      </c>
      <c r="I1523" s="74">
        <v>0</v>
      </c>
      <c r="J1523" s="74">
        <v>0</v>
      </c>
      <c r="K1523" s="74">
        <v>0</v>
      </c>
      <c r="L1523" s="74">
        <v>0</v>
      </c>
      <c r="M1523" s="74">
        <v>0</v>
      </c>
      <c r="N1523" s="78">
        <f>Sum(C1523:M1523)</f>
        <v>0</v>
      </c>
      <c r="O1523" s="76" t="e">
        <f>(N1523/N1529)</f>
        <v>#DIV/0!</v>
      </c>
      <c r="P1523" s="0" t="s">
        <v>532</v>
      </c>
    </row>
    <row r="1524">
      <c r="A1524" s="3" t="s">
        <v>122</v>
      </c>
      <c r="B1524" s="3"/>
      <c r="C1524" s="74">
        <v>0</v>
      </c>
      <c r="D1524" s="74">
        <v>0</v>
      </c>
      <c r="E1524" s="74">
        <v>0</v>
      </c>
      <c r="F1524" s="74">
        <v>0</v>
      </c>
      <c r="G1524" s="74">
        <v>0</v>
      </c>
      <c r="H1524" s="74">
        <v>0</v>
      </c>
      <c r="I1524" s="74">
        <v>0</v>
      </c>
      <c r="J1524" s="74">
        <v>0</v>
      </c>
      <c r="K1524" s="74">
        <v>0</v>
      </c>
      <c r="L1524" s="74">
        <v>0</v>
      </c>
      <c r="M1524" s="74">
        <v>0</v>
      </c>
      <c r="N1524" s="78">
        <f>Sum(C1524:M1524)</f>
        <v>0</v>
      </c>
      <c r="O1524" s="76" t="e">
        <f>(N1524/N1529)</f>
        <v>#DIV/0!</v>
      </c>
      <c r="P1524" s="0" t="s">
        <v>533</v>
      </c>
    </row>
    <row r="1525">
      <c r="A1525" s="3" t="s">
        <v>124</v>
      </c>
      <c r="B1525" s="3"/>
      <c r="C1525" s="74">
        <v>0</v>
      </c>
      <c r="D1525" s="74">
        <v>0</v>
      </c>
      <c r="E1525" s="74">
        <v>0</v>
      </c>
      <c r="F1525" s="74">
        <v>0</v>
      </c>
      <c r="G1525" s="74">
        <v>0</v>
      </c>
      <c r="H1525" s="74">
        <v>0</v>
      </c>
      <c r="I1525" s="74">
        <v>0</v>
      </c>
      <c r="J1525" s="74">
        <v>0</v>
      </c>
      <c r="K1525" s="74">
        <v>0</v>
      </c>
      <c r="L1525" s="74">
        <v>0</v>
      </c>
      <c r="M1525" s="74">
        <v>0</v>
      </c>
      <c r="N1525" s="78">
        <f>Sum(C1525:M1525)</f>
        <v>0</v>
      </c>
      <c r="O1525" s="76" t="e">
        <f>(N1525/N1529)</f>
        <v>#DIV/0!</v>
      </c>
      <c r="P1525" s="0" t="s">
        <v>534</v>
      </c>
    </row>
    <row r="1526">
      <c r="A1526" s="3" t="s">
        <v>535</v>
      </c>
      <c r="B1526" s="3"/>
      <c r="C1526" s="74">
        <v>0</v>
      </c>
      <c r="D1526" s="74">
        <v>0</v>
      </c>
      <c r="E1526" s="74">
        <v>0</v>
      </c>
      <c r="F1526" s="74">
        <v>0</v>
      </c>
      <c r="G1526" s="74">
        <v>0</v>
      </c>
      <c r="H1526" s="74">
        <v>0</v>
      </c>
      <c r="I1526" s="74">
        <v>0</v>
      </c>
      <c r="J1526" s="74">
        <v>0</v>
      </c>
      <c r="K1526" s="74">
        <v>0</v>
      </c>
      <c r="L1526" s="74">
        <v>0</v>
      </c>
      <c r="M1526" s="74">
        <v>0</v>
      </c>
      <c r="N1526" s="78">
        <f>Sum(C1526:M1526)</f>
        <v>0</v>
      </c>
      <c r="O1526" s="76" t="e">
        <f>(N1526/N1529)</f>
        <v>#DIV/0!</v>
      </c>
      <c r="P1526" s="0" t="s">
        <v>536</v>
      </c>
    </row>
    <row r="1527">
      <c r="A1527" s="3" t="s">
        <v>537</v>
      </c>
      <c r="B1527" s="3"/>
      <c r="C1527" s="74">
        <v>0</v>
      </c>
      <c r="D1527" s="74">
        <v>0</v>
      </c>
      <c r="E1527" s="74">
        <v>0</v>
      </c>
      <c r="F1527" s="74">
        <v>0</v>
      </c>
      <c r="G1527" s="74">
        <v>0</v>
      </c>
      <c r="H1527" s="74">
        <v>0</v>
      </c>
      <c r="I1527" s="74">
        <v>0</v>
      </c>
      <c r="J1527" s="74">
        <v>0</v>
      </c>
      <c r="K1527" s="74">
        <v>0</v>
      </c>
      <c r="L1527" s="74">
        <v>0</v>
      </c>
      <c r="M1527" s="74">
        <v>0</v>
      </c>
      <c r="N1527" s="78">
        <f>Sum(C1527:M1527)</f>
        <v>0</v>
      </c>
      <c r="O1527" s="76" t="e">
        <f>(N1527/N1529)</f>
        <v>#DIV/0!</v>
      </c>
      <c r="P1527" s="0" t="s">
        <v>538</v>
      </c>
    </row>
    <row r="1528">
      <c r="A1528" s="3" t="s">
        <v>539</v>
      </c>
      <c r="B1528" s="3"/>
      <c r="C1528" s="74">
        <v>0</v>
      </c>
      <c r="D1528" s="74">
        <v>0</v>
      </c>
      <c r="E1528" s="74">
        <v>0</v>
      </c>
      <c r="F1528" s="74">
        <v>0</v>
      </c>
      <c r="G1528" s="74">
        <v>0</v>
      </c>
      <c r="H1528" s="74">
        <v>0</v>
      </c>
      <c r="I1528" s="74">
        <v>0</v>
      </c>
      <c r="J1528" s="74">
        <v>0</v>
      </c>
      <c r="K1528" s="74">
        <v>0</v>
      </c>
      <c r="L1528" s="74">
        <v>0</v>
      </c>
      <c r="M1528" s="74">
        <v>0</v>
      </c>
      <c r="N1528" s="78">
        <f>Sum(C1528:M1528)</f>
        <v>0</v>
      </c>
      <c r="O1528" s="76" t="e">
        <f>(N1528/N1529)</f>
        <v>#DIV/0!</v>
      </c>
      <c r="P1528" s="0" t="s">
        <v>540</v>
      </c>
    </row>
    <row r="1529">
      <c r="A1529" s="3" t="s">
        <v>541</v>
      </c>
      <c r="B1529" s="3"/>
      <c r="C1529" s="74"/>
      <c r="D1529" s="74"/>
      <c r="E1529" s="74"/>
      <c r="F1529" s="74"/>
      <c r="G1529" s="74"/>
      <c r="H1529" s="74"/>
      <c r="I1529" s="74"/>
      <c r="J1529" s="74"/>
      <c r="K1529" s="74"/>
      <c r="L1529" s="74"/>
      <c r="M1529" s="74"/>
      <c r="N1529" s="78">
        <f>Sum(C1529:M1529)</f>
        <v>0</v>
      </c>
    </row>
    <row r="1530">
      <c r="A1530" s="3"/>
      <c r="B1530" s="3"/>
      <c r="C1530" s="74"/>
      <c r="D1530" s="74"/>
      <c r="E1530" s="74"/>
      <c r="F1530" s="74"/>
      <c r="G1530" s="74"/>
      <c r="H1530" s="74"/>
      <c r="I1530" s="74"/>
      <c r="J1530" s="74"/>
      <c r="K1530" s="74"/>
      <c r="L1530" s="74"/>
      <c r="M1530" s="74"/>
      <c r="N1530" s="78"/>
    </row>
    <row r="1531">
      <c r="A1531" s="3" t="s">
        <v>542</v>
      </c>
      <c r="B1531" s="3"/>
      <c r="C1531" s="74">
        <v>0</v>
      </c>
      <c r="D1531" s="74">
        <v>0</v>
      </c>
      <c r="E1531" s="74">
        <v>0</v>
      </c>
      <c r="F1531" s="74">
        <v>0</v>
      </c>
      <c r="G1531" s="74">
        <v>0</v>
      </c>
      <c r="H1531" s="74">
        <v>0</v>
      </c>
      <c r="I1531" s="74">
        <v>0</v>
      </c>
      <c r="J1531" s="74">
        <v>0</v>
      </c>
      <c r="K1531" s="74">
        <v>0</v>
      </c>
      <c r="L1531" s="74">
        <v>0</v>
      </c>
      <c r="M1531" s="74">
        <v>0</v>
      </c>
      <c r="N1531" s="78">
        <f>Sum(C1531:M1531)</f>
        <v>0</v>
      </c>
    </row>
    <row r="1533">
      <c r="A1533" s="22" t="s">
        <v>543</v>
      </c>
      <c r="C1533" s="22" t="s">
        <v>363</v>
      </c>
      <c r="D1533" s="22"/>
      <c r="E1533" s="22"/>
      <c r="F1533" s="22"/>
      <c r="G1533" s="22"/>
      <c r="H1533" s="22"/>
      <c r="I1533" s="22"/>
      <c r="J1533" s="22"/>
      <c r="K1533" s="22"/>
      <c r="L1533" s="22"/>
      <c r="M1533" s="22"/>
    </row>
    <row r="1534">
      <c r="A1534" s="22"/>
      <c r="C1534" s="22">
        <v>2026</v>
      </c>
      <c r="D1534" s="22">
        <v>2027</v>
      </c>
      <c r="E1534" s="22">
        <v>2028</v>
      </c>
      <c r="F1534" s="22">
        <v>2029</v>
      </c>
      <c r="G1534" s="22">
        <v>2030</v>
      </c>
      <c r="H1534" s="22">
        <v>2031</v>
      </c>
      <c r="I1534" s="22">
        <v>2032</v>
      </c>
      <c r="J1534" s="22">
        <v>2033</v>
      </c>
      <c r="K1534" s="22">
        <v>2034</v>
      </c>
      <c r="L1534" s="22">
        <v>2035</v>
      </c>
      <c r="M1534" s="22">
        <v>2036</v>
      </c>
    </row>
    <row r="1535">
      <c r="A1535" s="3"/>
      <c r="B1535" s="3"/>
      <c r="C1535" s="74"/>
      <c r="D1535" s="74"/>
      <c r="E1535" s="74"/>
      <c r="F1535" s="74"/>
      <c r="G1535" s="74"/>
      <c r="H1535" s="74"/>
      <c r="I1535" s="74"/>
      <c r="J1535" s="74"/>
      <c r="K1535" s="74"/>
      <c r="L1535" s="74"/>
      <c r="M1535" s="74"/>
      <c r="N1535" s="78">
        <f>Sum(C1535:M1535)</f>
        <v>0</v>
      </c>
    </row>
    <row r="1538">
      <c r="A1538" s="22" t="s">
        <v>473</v>
      </c>
      <c r="C1538" s="22" t="s">
        <v>544</v>
      </c>
      <c r="D1538" s="22"/>
      <c r="E1538" s="22"/>
      <c r="F1538" s="22"/>
      <c r="G1538" s="22"/>
      <c r="H1538" s="22"/>
      <c r="I1538" s="22"/>
      <c r="J1538" s="22"/>
      <c r="K1538" s="22"/>
      <c r="L1538" s="22"/>
      <c r="M1538" s="22"/>
    </row>
    <row r="1539">
      <c r="A1539" s="22"/>
      <c r="C1539" s="22">
        <v>2026</v>
      </c>
      <c r="D1539" s="22">
        <v>2027</v>
      </c>
      <c r="E1539" s="22">
        <v>2028</v>
      </c>
      <c r="F1539" s="22">
        <v>2029</v>
      </c>
      <c r="G1539" s="22">
        <v>2030</v>
      </c>
      <c r="H1539" s="22">
        <v>2031</v>
      </c>
      <c r="I1539" s="22">
        <v>2032</v>
      </c>
      <c r="J1539" s="22">
        <v>2033</v>
      </c>
      <c r="K1539" s="22">
        <v>2034</v>
      </c>
      <c r="L1539" s="22">
        <v>2035</v>
      </c>
      <c r="M1539" s="22">
        <v>2036</v>
      </c>
    </row>
    <row r="1540">
      <c r="A1540" s="3" t="s">
        <v>545</v>
      </c>
      <c r="B1540" s="3"/>
      <c r="C1540" s="90">
        <v>0</v>
      </c>
      <c r="D1540" s="90">
        <v>0</v>
      </c>
      <c r="E1540" s="90">
        <v>0</v>
      </c>
      <c r="F1540" s="90">
        <v>0</v>
      </c>
      <c r="G1540" s="90">
        <v>0</v>
      </c>
      <c r="H1540" s="90">
        <v>0</v>
      </c>
      <c r="I1540" s="90">
        <v>0</v>
      </c>
      <c r="J1540" s="90">
        <v>0</v>
      </c>
      <c r="K1540" s="90">
        <v>0</v>
      </c>
      <c r="L1540" s="90">
        <v>0</v>
      </c>
      <c r="M1540" s="90">
        <v>0</v>
      </c>
    </row>
    <row r="1541">
      <c r="A1541" s="3" t="s">
        <v>546</v>
      </c>
      <c r="B1541" s="3"/>
      <c r="C1541" s="90">
        <v>0</v>
      </c>
      <c r="D1541" s="90">
        <v>0</v>
      </c>
      <c r="E1541" s="90">
        <v>0</v>
      </c>
      <c r="F1541" s="90">
        <v>0</v>
      </c>
      <c r="G1541" s="90">
        <v>0</v>
      </c>
      <c r="H1541" s="90">
        <v>0</v>
      </c>
      <c r="I1541" s="90">
        <v>0</v>
      </c>
      <c r="J1541" s="90">
        <v>0</v>
      </c>
      <c r="K1541" s="90">
        <v>0</v>
      </c>
      <c r="L1541" s="90">
        <v>0</v>
      </c>
      <c r="M1541" s="90">
        <v>0</v>
      </c>
    </row>
    <row r="1542">
      <c r="A1542" s="3" t="s">
        <v>547</v>
      </c>
      <c r="B1542" s="3"/>
      <c r="C1542" s="90">
        <v>0</v>
      </c>
      <c r="D1542" s="90">
        <v>0</v>
      </c>
      <c r="E1542" s="90">
        <v>0</v>
      </c>
      <c r="F1542" s="90">
        <v>0</v>
      </c>
      <c r="G1542" s="90">
        <v>0</v>
      </c>
      <c r="H1542" s="90">
        <v>0</v>
      </c>
      <c r="I1542" s="90">
        <v>0</v>
      </c>
      <c r="J1542" s="90">
        <v>0</v>
      </c>
      <c r="K1542" s="90">
        <v>0</v>
      </c>
      <c r="L1542" s="90">
        <v>0</v>
      </c>
      <c r="M1542" s="90">
        <v>0</v>
      </c>
    </row>
    <row r="1543">
      <c r="A1543" s="3" t="s">
        <v>548</v>
      </c>
      <c r="B1543" s="3"/>
      <c r="C1543" s="90">
        <v>0</v>
      </c>
      <c r="D1543" s="90">
        <v>0</v>
      </c>
      <c r="E1543" s="90">
        <v>0</v>
      </c>
      <c r="F1543" s="90">
        <v>0</v>
      </c>
      <c r="G1543" s="90">
        <v>0</v>
      </c>
      <c r="H1543" s="90">
        <v>0</v>
      </c>
      <c r="I1543" s="90">
        <v>0</v>
      </c>
      <c r="J1543" s="90">
        <v>0</v>
      </c>
      <c r="K1543" s="90">
        <v>0</v>
      </c>
      <c r="L1543" s="90">
        <v>0</v>
      </c>
      <c r="M1543" s="90">
        <v>0</v>
      </c>
    </row>
    <row r="1544">
      <c r="A1544" s="3" t="s">
        <v>549</v>
      </c>
      <c r="B1544" s="3"/>
      <c r="C1544" s="90">
        <v>0</v>
      </c>
      <c r="D1544" s="90">
        <v>0</v>
      </c>
      <c r="E1544" s="90">
        <v>0</v>
      </c>
      <c r="F1544" s="90">
        <v>0</v>
      </c>
      <c r="G1544" s="90">
        <v>0</v>
      </c>
      <c r="H1544" s="90">
        <v>0</v>
      </c>
      <c r="I1544" s="90">
        <v>0</v>
      </c>
      <c r="J1544" s="90">
        <v>0</v>
      </c>
      <c r="K1544" s="90">
        <v>0</v>
      </c>
      <c r="L1544" s="90">
        <v>0</v>
      </c>
      <c r="M1544" s="90">
        <v>0</v>
      </c>
    </row>
    <row r="1545">
      <c r="A1545" s="3" t="s">
        <v>550</v>
      </c>
      <c r="B1545" s="3"/>
      <c r="C1545" s="90">
        <v>0</v>
      </c>
      <c r="D1545" s="90">
        <v>0</v>
      </c>
      <c r="E1545" s="90">
        <v>0</v>
      </c>
      <c r="F1545" s="90">
        <v>0</v>
      </c>
      <c r="G1545" s="90">
        <v>0</v>
      </c>
      <c r="H1545" s="90">
        <v>0</v>
      </c>
      <c r="I1545" s="90">
        <v>0</v>
      </c>
      <c r="J1545" s="90">
        <v>0</v>
      </c>
      <c r="K1545" s="90">
        <v>0</v>
      </c>
      <c r="L1545" s="90">
        <v>0</v>
      </c>
      <c r="M1545" s="90">
        <v>0</v>
      </c>
    </row>
    <row r="1546">
      <c r="A1546" s="3" t="s">
        <v>551</v>
      </c>
      <c r="B1546" s="3"/>
      <c r="C1546" s="90">
        <v>0</v>
      </c>
      <c r="D1546" s="90">
        <v>0</v>
      </c>
      <c r="E1546" s="90"/>
      <c r="F1546" s="90">
        <v>0</v>
      </c>
      <c r="G1546" s="90"/>
      <c r="H1546" s="90">
        <v>0</v>
      </c>
      <c r="I1546" s="90"/>
      <c r="J1546" s="90"/>
      <c r="K1546" s="90"/>
      <c r="L1546" s="90"/>
      <c r="M1546" s="90">
        <v>0</v>
      </c>
    </row>
    <row r="1548">
      <c r="A1548" s="25" t="s">
        <v>167</v>
      </c>
      <c r="B1548" s="25"/>
      <c r="C1548" s="25"/>
      <c r="D1548" s="25"/>
      <c r="E1548" s="25"/>
      <c r="F1548" s="25"/>
      <c r="G1548" s="25"/>
      <c r="H1548" s="25"/>
      <c r="I1548" s="25"/>
      <c r="J1548" s="25"/>
      <c r="K1548" s="25"/>
      <c r="L1548" s="24"/>
      <c r="M1548" s="24"/>
    </row>
    <row r="1551">
      <c r="A1551" s="22" t="s">
        <v>363</v>
      </c>
      <c r="C1551" s="22" t="s">
        <v>502</v>
      </c>
      <c r="D1551" s="22"/>
      <c r="E1551" s="22"/>
      <c r="F1551" s="22"/>
      <c r="G1551" s="22"/>
      <c r="H1551" s="22"/>
      <c r="I1551" s="22"/>
      <c r="J1551" s="22"/>
      <c r="K1551" s="22"/>
      <c r="L1551" s="22"/>
      <c r="M1551" s="22"/>
    </row>
    <row r="1552">
      <c r="A1552" s="22"/>
      <c r="C1552" s="22">
        <v>2026</v>
      </c>
      <c r="D1552" s="22">
        <v>2027</v>
      </c>
      <c r="E1552" s="22">
        <v>2028</v>
      </c>
      <c r="F1552" s="22">
        <v>2029</v>
      </c>
      <c r="G1552" s="22">
        <v>2030</v>
      </c>
      <c r="H1552" s="22">
        <v>2031</v>
      </c>
      <c r="I1552" s="22">
        <v>2032</v>
      </c>
      <c r="J1552" s="22">
        <v>2033</v>
      </c>
      <c r="K1552" s="22">
        <v>2034</v>
      </c>
      <c r="L1552" s="22">
        <v>2035</v>
      </c>
      <c r="M1552" s="22">
        <v>2036</v>
      </c>
    </row>
    <row r="1553">
      <c r="A1553" s="3" t="s">
        <v>504</v>
      </c>
      <c r="B1553" s="3"/>
      <c r="C1553" s="82">
        <v>0</v>
      </c>
      <c r="D1553" s="82">
        <v>0</v>
      </c>
      <c r="E1553" s="82">
        <v>0</v>
      </c>
      <c r="F1553" s="82">
        <v>0</v>
      </c>
      <c r="G1553" s="82">
        <v>0</v>
      </c>
      <c r="H1553" s="82">
        <v>0</v>
      </c>
      <c r="I1553" s="82">
        <v>0</v>
      </c>
      <c r="J1553" s="82">
        <v>0</v>
      </c>
      <c r="K1553" s="82">
        <v>0</v>
      </c>
      <c r="L1553" s="82">
        <v>0</v>
      </c>
      <c r="M1553" s="82">
        <v>0</v>
      </c>
    </row>
    <row r="1554">
      <c r="A1554" s="3" t="s">
        <v>506</v>
      </c>
      <c r="B1554" s="3"/>
      <c r="C1554" s="83">
        <v>0</v>
      </c>
      <c r="D1554" s="83">
        <v>0</v>
      </c>
      <c r="E1554" s="83">
        <v>0</v>
      </c>
      <c r="F1554" s="83">
        <v>0</v>
      </c>
      <c r="G1554" s="83">
        <v>0</v>
      </c>
      <c r="H1554" s="83">
        <v>0</v>
      </c>
      <c r="I1554" s="83">
        <v>0</v>
      </c>
      <c r="J1554" s="83">
        <v>0</v>
      </c>
      <c r="K1554" s="83">
        <v>0</v>
      </c>
      <c r="L1554" s="83">
        <v>0</v>
      </c>
      <c r="M1554" s="83">
        <v>0</v>
      </c>
    </row>
    <row r="1555">
      <c r="A1555" s="3" t="s">
        <v>507</v>
      </c>
      <c r="B1555" s="3"/>
      <c r="C1555" s="83">
        <v>0</v>
      </c>
      <c r="D1555" s="83">
        <v>0</v>
      </c>
      <c r="E1555" s="83">
        <v>0</v>
      </c>
      <c r="F1555" s="83">
        <v>0</v>
      </c>
      <c r="G1555" s="83">
        <v>0</v>
      </c>
      <c r="H1555" s="83">
        <v>0</v>
      </c>
      <c r="I1555" s="83">
        <v>0</v>
      </c>
      <c r="J1555" s="83">
        <v>0</v>
      </c>
      <c r="K1555" s="83">
        <v>0</v>
      </c>
      <c r="L1555" s="83">
        <v>0</v>
      </c>
      <c r="M1555" s="83">
        <v>0</v>
      </c>
    </row>
    <row r="1556">
      <c r="A1556" s="3" t="s">
        <v>508</v>
      </c>
      <c r="B1556" s="3"/>
      <c r="C1556" s="83">
        <v>0</v>
      </c>
      <c r="D1556" s="83">
        <v>0</v>
      </c>
      <c r="E1556" s="83">
        <v>0</v>
      </c>
      <c r="F1556" s="83">
        <v>0</v>
      </c>
      <c r="G1556" s="83">
        <v>0</v>
      </c>
      <c r="H1556" s="83">
        <v>0</v>
      </c>
      <c r="I1556" s="83">
        <v>0</v>
      </c>
      <c r="J1556" s="83">
        <v>0</v>
      </c>
      <c r="K1556" s="83">
        <v>0</v>
      </c>
      <c r="L1556" s="83">
        <v>0</v>
      </c>
      <c r="M1556" s="83">
        <v>0</v>
      </c>
    </row>
    <row r="1557">
      <c r="A1557" s="3" t="s">
        <v>509</v>
      </c>
      <c r="B1557" s="3"/>
      <c r="C1557" s="83">
        <v>0</v>
      </c>
      <c r="D1557" s="83">
        <v>0</v>
      </c>
      <c r="E1557" s="83">
        <v>0</v>
      </c>
      <c r="F1557" s="83">
        <v>0</v>
      </c>
      <c r="G1557" s="83">
        <v>0</v>
      </c>
      <c r="H1557" s="83">
        <v>0</v>
      </c>
      <c r="I1557" s="83">
        <v>0</v>
      </c>
      <c r="J1557" s="83">
        <v>0</v>
      </c>
      <c r="K1557" s="83">
        <v>0</v>
      </c>
      <c r="L1557" s="83">
        <v>0</v>
      </c>
      <c r="M1557" s="83">
        <v>0</v>
      </c>
    </row>
    <row r="1558">
      <c r="A1558" s="3" t="s">
        <v>510</v>
      </c>
      <c r="B1558" s="3"/>
      <c r="C1558" s="83">
        <v>0</v>
      </c>
      <c r="D1558" s="83">
        <v>0</v>
      </c>
      <c r="E1558" s="83">
        <v>0</v>
      </c>
      <c r="F1558" s="83">
        <v>0</v>
      </c>
      <c r="G1558" s="83">
        <v>0</v>
      </c>
      <c r="H1558" s="83">
        <v>0</v>
      </c>
      <c r="I1558" s="83">
        <v>0</v>
      </c>
      <c r="J1558" s="83">
        <v>0</v>
      </c>
      <c r="K1558" s="83">
        <v>0</v>
      </c>
      <c r="L1558" s="83">
        <v>0</v>
      </c>
      <c r="M1558" s="83">
        <v>0</v>
      </c>
    </row>
    <row r="1562">
      <c r="A1562" s="22" t="s">
        <v>529</v>
      </c>
      <c r="C1562" s="22" t="s">
        <v>363</v>
      </c>
      <c r="D1562" s="22"/>
      <c r="E1562" s="22"/>
      <c r="F1562" s="22"/>
      <c r="G1562" s="22"/>
      <c r="H1562" s="22"/>
      <c r="I1562" s="22"/>
      <c r="J1562" s="22"/>
      <c r="K1562" s="22"/>
      <c r="L1562" s="22"/>
      <c r="M1562" s="22"/>
    </row>
    <row r="1563">
      <c r="A1563" s="22"/>
      <c r="B1563" s="3"/>
      <c r="C1563" s="22">
        <v>2026</v>
      </c>
      <c r="D1563" s="22">
        <v>2027</v>
      </c>
      <c r="E1563" s="22">
        <v>2028</v>
      </c>
      <c r="F1563" s="22">
        <v>2029</v>
      </c>
      <c r="G1563" s="22">
        <v>2030</v>
      </c>
      <c r="H1563" s="22">
        <v>2031</v>
      </c>
      <c r="I1563" s="22">
        <v>2032</v>
      </c>
      <c r="J1563" s="22">
        <v>2033</v>
      </c>
      <c r="K1563" s="22">
        <v>2034</v>
      </c>
      <c r="L1563" s="22">
        <v>2035</v>
      </c>
      <c r="M1563" s="22">
        <v>2036</v>
      </c>
      <c r="N1563" s="22" t="s">
        <v>530</v>
      </c>
    </row>
    <row r="1564">
      <c r="A1564" s="3" t="s">
        <v>117</v>
      </c>
      <c r="B1564" s="3"/>
      <c r="C1564" s="74">
        <v>0</v>
      </c>
      <c r="D1564" s="74">
        <v>0</v>
      </c>
      <c r="E1564" s="74">
        <v>0</v>
      </c>
      <c r="F1564" s="74">
        <v>0</v>
      </c>
      <c r="G1564" s="74">
        <v>0</v>
      </c>
      <c r="H1564" s="74">
        <v>0</v>
      </c>
      <c r="I1564" s="74">
        <v>0</v>
      </c>
      <c r="J1564" s="74">
        <v>0</v>
      </c>
      <c r="K1564" s="74">
        <v>0</v>
      </c>
      <c r="L1564" s="74">
        <v>0</v>
      </c>
      <c r="M1564" s="74">
        <v>0</v>
      </c>
      <c r="N1564" s="78">
        <f>Sum(C1564:M1564)</f>
        <v>0</v>
      </c>
      <c r="O1564" s="76" t="e">
        <f>(N1564/N1571)</f>
        <v>#DIV/0!</v>
      </c>
      <c r="P1564" s="0" t="s">
        <v>531</v>
      </c>
    </row>
    <row r="1565">
      <c r="A1565" s="3" t="s">
        <v>121</v>
      </c>
      <c r="B1565" s="3"/>
      <c r="C1565" s="74">
        <v>0</v>
      </c>
      <c r="D1565" s="74">
        <v>0</v>
      </c>
      <c r="E1565" s="74">
        <v>0</v>
      </c>
      <c r="F1565" s="74">
        <v>0</v>
      </c>
      <c r="G1565" s="74">
        <v>0</v>
      </c>
      <c r="H1565" s="74">
        <v>0</v>
      </c>
      <c r="I1565" s="74">
        <v>0</v>
      </c>
      <c r="J1565" s="74">
        <v>0</v>
      </c>
      <c r="K1565" s="74">
        <v>0</v>
      </c>
      <c r="L1565" s="74">
        <v>0</v>
      </c>
      <c r="M1565" s="74">
        <v>0</v>
      </c>
      <c r="N1565" s="78">
        <f>Sum(C1565:M1565)</f>
        <v>0</v>
      </c>
      <c r="O1565" s="76" t="e">
        <f>(N1565/N1571)</f>
        <v>#DIV/0!</v>
      </c>
      <c r="P1565" s="0" t="s">
        <v>532</v>
      </c>
    </row>
    <row r="1566">
      <c r="A1566" s="3" t="s">
        <v>122</v>
      </c>
      <c r="B1566" s="3"/>
      <c r="C1566" s="74">
        <v>0</v>
      </c>
      <c r="D1566" s="74">
        <v>0</v>
      </c>
      <c r="E1566" s="74">
        <v>0</v>
      </c>
      <c r="F1566" s="74">
        <v>0</v>
      </c>
      <c r="G1566" s="74">
        <v>0</v>
      </c>
      <c r="H1566" s="74">
        <v>0</v>
      </c>
      <c r="I1566" s="74">
        <v>0</v>
      </c>
      <c r="J1566" s="74">
        <v>0</v>
      </c>
      <c r="K1566" s="74">
        <v>0</v>
      </c>
      <c r="L1566" s="74">
        <v>0</v>
      </c>
      <c r="M1566" s="74">
        <v>0</v>
      </c>
      <c r="N1566" s="78">
        <f>Sum(C1566:M1566)</f>
        <v>0</v>
      </c>
      <c r="O1566" s="76" t="e">
        <f>(N1566/N1571)</f>
        <v>#DIV/0!</v>
      </c>
      <c r="P1566" s="0" t="s">
        <v>533</v>
      </c>
    </row>
    <row r="1567">
      <c r="A1567" s="3" t="s">
        <v>124</v>
      </c>
      <c r="B1567" s="3"/>
      <c r="C1567" s="74">
        <v>0</v>
      </c>
      <c r="D1567" s="74">
        <v>0</v>
      </c>
      <c r="E1567" s="74">
        <v>0</v>
      </c>
      <c r="F1567" s="74">
        <v>0</v>
      </c>
      <c r="G1567" s="74">
        <v>0</v>
      </c>
      <c r="H1567" s="74">
        <v>0</v>
      </c>
      <c r="I1567" s="74">
        <v>0</v>
      </c>
      <c r="J1567" s="74">
        <v>0</v>
      </c>
      <c r="K1567" s="74">
        <v>0</v>
      </c>
      <c r="L1567" s="74">
        <v>0</v>
      </c>
      <c r="M1567" s="74">
        <v>0</v>
      </c>
      <c r="N1567" s="78">
        <f>Sum(C1567:M1567)</f>
        <v>0</v>
      </c>
      <c r="O1567" s="76" t="e">
        <f>(N1567/N1571)</f>
        <v>#DIV/0!</v>
      </c>
      <c r="P1567" s="0" t="s">
        <v>534</v>
      </c>
    </row>
    <row r="1568">
      <c r="A1568" s="3" t="s">
        <v>535</v>
      </c>
      <c r="B1568" s="3"/>
      <c r="C1568" s="74">
        <v>0</v>
      </c>
      <c r="D1568" s="74">
        <v>0</v>
      </c>
      <c r="E1568" s="74">
        <v>0</v>
      </c>
      <c r="F1568" s="74">
        <v>0</v>
      </c>
      <c r="G1568" s="74">
        <v>0</v>
      </c>
      <c r="H1568" s="74">
        <v>0</v>
      </c>
      <c r="I1568" s="74">
        <v>0</v>
      </c>
      <c r="J1568" s="74">
        <v>0</v>
      </c>
      <c r="K1568" s="74">
        <v>0</v>
      </c>
      <c r="L1568" s="74">
        <v>0</v>
      </c>
      <c r="M1568" s="74">
        <v>0</v>
      </c>
      <c r="N1568" s="78">
        <f>Sum(C1568:M1568)</f>
        <v>0</v>
      </c>
      <c r="O1568" s="76" t="e">
        <f>(N1568/N1571)</f>
        <v>#DIV/0!</v>
      </c>
      <c r="P1568" s="0" t="s">
        <v>536</v>
      </c>
    </row>
    <row r="1569">
      <c r="A1569" s="3" t="s">
        <v>537</v>
      </c>
      <c r="B1569" s="3"/>
      <c r="C1569" s="74">
        <v>0</v>
      </c>
      <c r="D1569" s="74">
        <v>0</v>
      </c>
      <c r="E1569" s="74">
        <v>0</v>
      </c>
      <c r="F1569" s="74">
        <v>0</v>
      </c>
      <c r="G1569" s="74">
        <v>0</v>
      </c>
      <c r="H1569" s="74">
        <v>0</v>
      </c>
      <c r="I1569" s="74">
        <v>0</v>
      </c>
      <c r="J1569" s="74">
        <v>0</v>
      </c>
      <c r="K1569" s="74">
        <v>0</v>
      </c>
      <c r="L1569" s="74">
        <v>0</v>
      </c>
      <c r="M1569" s="74">
        <v>0</v>
      </c>
      <c r="N1569" s="78">
        <f>Sum(C1569:M1569)</f>
        <v>0</v>
      </c>
      <c r="O1569" s="76" t="e">
        <f>(N1569/N1571)</f>
        <v>#DIV/0!</v>
      </c>
      <c r="P1569" s="0" t="s">
        <v>538</v>
      </c>
    </row>
    <row r="1570">
      <c r="A1570" s="3" t="s">
        <v>539</v>
      </c>
      <c r="B1570" s="3"/>
      <c r="C1570" s="74">
        <v>0</v>
      </c>
      <c r="D1570" s="74">
        <v>0</v>
      </c>
      <c r="E1570" s="74">
        <v>0</v>
      </c>
      <c r="F1570" s="74">
        <v>0</v>
      </c>
      <c r="G1570" s="74">
        <v>0</v>
      </c>
      <c r="H1570" s="74">
        <v>0</v>
      </c>
      <c r="I1570" s="74">
        <v>0</v>
      </c>
      <c r="J1570" s="74">
        <v>0</v>
      </c>
      <c r="K1570" s="74">
        <v>0</v>
      </c>
      <c r="L1570" s="74">
        <v>0</v>
      </c>
      <c r="M1570" s="74">
        <v>0</v>
      </c>
      <c r="N1570" s="78">
        <f>Sum(C1570:M1570)</f>
        <v>0</v>
      </c>
      <c r="O1570" s="76" t="e">
        <f>(N1570/N1571)</f>
        <v>#DIV/0!</v>
      </c>
      <c r="P1570" s="0" t="s">
        <v>540</v>
      </c>
    </row>
    <row r="1571">
      <c r="A1571" s="3" t="s">
        <v>541</v>
      </c>
      <c r="B1571" s="3"/>
      <c r="C1571" s="74"/>
      <c r="D1571" s="74"/>
      <c r="E1571" s="74"/>
      <c r="F1571" s="74"/>
      <c r="G1571" s="74"/>
      <c r="H1571" s="74"/>
      <c r="I1571" s="74"/>
      <c r="J1571" s="74"/>
      <c r="K1571" s="74"/>
      <c r="L1571" s="74"/>
      <c r="M1571" s="74"/>
      <c r="N1571" s="78">
        <f>Sum(C1571:M1571)</f>
        <v>0</v>
      </c>
    </row>
    <row r="1572">
      <c r="A1572" s="3"/>
      <c r="B1572" s="3"/>
      <c r="C1572" s="74"/>
      <c r="D1572" s="74"/>
      <c r="E1572" s="74"/>
      <c r="F1572" s="74"/>
      <c r="G1572" s="74"/>
      <c r="H1572" s="74"/>
      <c r="I1572" s="74"/>
      <c r="J1572" s="74"/>
      <c r="K1572" s="74"/>
      <c r="L1572" s="74"/>
      <c r="M1572" s="74"/>
      <c r="N1572" s="78"/>
    </row>
    <row r="1573">
      <c r="A1573" s="3" t="s">
        <v>542</v>
      </c>
      <c r="B1573" s="3"/>
      <c r="C1573" s="74">
        <v>0</v>
      </c>
      <c r="D1573" s="74">
        <v>0</v>
      </c>
      <c r="E1573" s="74">
        <v>0</v>
      </c>
      <c r="F1573" s="74">
        <v>0</v>
      </c>
      <c r="G1573" s="74">
        <v>0</v>
      </c>
      <c r="H1573" s="74">
        <v>0</v>
      </c>
      <c r="I1573" s="74">
        <v>0</v>
      </c>
      <c r="J1573" s="74">
        <v>0</v>
      </c>
      <c r="K1573" s="74">
        <v>0</v>
      </c>
      <c r="L1573" s="74">
        <v>0</v>
      </c>
      <c r="M1573" s="74">
        <v>0</v>
      </c>
      <c r="N1573" s="78">
        <f>Sum(C1573:M1573)</f>
        <v>0</v>
      </c>
    </row>
    <row r="1575">
      <c r="A1575" s="22" t="s">
        <v>543</v>
      </c>
      <c r="C1575" s="22" t="s">
        <v>363</v>
      </c>
      <c r="D1575" s="22"/>
      <c r="E1575" s="22"/>
      <c r="F1575" s="22"/>
      <c r="G1575" s="22"/>
      <c r="H1575" s="22"/>
      <c r="I1575" s="22"/>
      <c r="J1575" s="22"/>
      <c r="K1575" s="22"/>
      <c r="L1575" s="22"/>
      <c r="M1575" s="22"/>
    </row>
    <row r="1576">
      <c r="A1576" s="22"/>
      <c r="C1576" s="22">
        <v>2026</v>
      </c>
      <c r="D1576" s="22">
        <v>2027</v>
      </c>
      <c r="E1576" s="22">
        <v>2028</v>
      </c>
      <c r="F1576" s="22">
        <v>2029</v>
      </c>
      <c r="G1576" s="22">
        <v>2030</v>
      </c>
      <c r="H1576" s="22">
        <v>2031</v>
      </c>
      <c r="I1576" s="22">
        <v>2032</v>
      </c>
      <c r="J1576" s="22">
        <v>2033</v>
      </c>
      <c r="K1576" s="22">
        <v>2034</v>
      </c>
      <c r="L1576" s="22">
        <v>2035</v>
      </c>
      <c r="M1576" s="22">
        <v>2036</v>
      </c>
    </row>
    <row r="1577">
      <c r="A1577" s="3"/>
      <c r="B1577" s="3"/>
      <c r="C1577" s="74"/>
      <c r="D1577" s="74"/>
      <c r="E1577" s="74"/>
      <c r="F1577" s="74"/>
      <c r="G1577" s="74"/>
      <c r="H1577" s="74"/>
      <c r="I1577" s="74"/>
      <c r="J1577" s="74"/>
      <c r="K1577" s="74"/>
      <c r="L1577" s="74"/>
      <c r="M1577" s="74"/>
      <c r="N1577" s="78">
        <f>Sum(C1577:M1577)</f>
        <v>0</v>
      </c>
    </row>
    <row r="1580">
      <c r="A1580" s="22" t="s">
        <v>473</v>
      </c>
      <c r="C1580" s="22" t="s">
        <v>544</v>
      </c>
      <c r="D1580" s="22"/>
      <c r="E1580" s="22"/>
      <c r="F1580" s="22"/>
      <c r="G1580" s="22"/>
      <c r="H1580" s="22"/>
      <c r="I1580" s="22"/>
      <c r="J1580" s="22"/>
      <c r="K1580" s="22"/>
      <c r="L1580" s="22"/>
      <c r="M1580" s="22"/>
    </row>
    <row r="1581">
      <c r="A1581" s="22"/>
      <c r="C1581" s="22">
        <v>2026</v>
      </c>
      <c r="D1581" s="22">
        <v>2027</v>
      </c>
      <c r="E1581" s="22">
        <v>2028</v>
      </c>
      <c r="F1581" s="22">
        <v>2029</v>
      </c>
      <c r="G1581" s="22">
        <v>2030</v>
      </c>
      <c r="H1581" s="22">
        <v>2031</v>
      </c>
      <c r="I1581" s="22">
        <v>2032</v>
      </c>
      <c r="J1581" s="22">
        <v>2033</v>
      </c>
      <c r="K1581" s="22">
        <v>2034</v>
      </c>
      <c r="L1581" s="22">
        <v>2035</v>
      </c>
      <c r="M1581" s="22">
        <v>2036</v>
      </c>
    </row>
    <row r="1582">
      <c r="A1582" s="3" t="s">
        <v>545</v>
      </c>
      <c r="B1582" s="3"/>
      <c r="C1582" s="90">
        <v>0</v>
      </c>
      <c r="D1582" s="90">
        <v>0</v>
      </c>
      <c r="E1582" s="90">
        <v>0</v>
      </c>
      <c r="F1582" s="90">
        <v>0</v>
      </c>
      <c r="G1582" s="90">
        <v>0</v>
      </c>
      <c r="H1582" s="90">
        <v>0</v>
      </c>
      <c r="I1582" s="90">
        <v>0</v>
      </c>
      <c r="J1582" s="90">
        <v>0</v>
      </c>
      <c r="K1582" s="90">
        <v>0</v>
      </c>
      <c r="L1582" s="90">
        <v>0</v>
      </c>
      <c r="M1582" s="90">
        <v>0</v>
      </c>
    </row>
    <row r="1583">
      <c r="A1583" s="3" t="s">
        <v>546</v>
      </c>
      <c r="B1583" s="3"/>
      <c r="C1583" s="90">
        <v>0</v>
      </c>
      <c r="D1583" s="90">
        <v>0</v>
      </c>
      <c r="E1583" s="90">
        <v>0</v>
      </c>
      <c r="F1583" s="90">
        <v>0</v>
      </c>
      <c r="G1583" s="90">
        <v>0</v>
      </c>
      <c r="H1583" s="90">
        <v>0</v>
      </c>
      <c r="I1583" s="90">
        <v>0</v>
      </c>
      <c r="J1583" s="90">
        <v>0</v>
      </c>
      <c r="K1583" s="90">
        <v>0</v>
      </c>
      <c r="L1583" s="90">
        <v>0</v>
      </c>
      <c r="M1583" s="90">
        <v>0</v>
      </c>
    </row>
    <row r="1584">
      <c r="A1584" s="3" t="s">
        <v>547</v>
      </c>
      <c r="B1584" s="3"/>
      <c r="C1584" s="90">
        <v>0</v>
      </c>
      <c r="D1584" s="90">
        <v>0</v>
      </c>
      <c r="E1584" s="90">
        <v>0</v>
      </c>
      <c r="F1584" s="90">
        <v>0</v>
      </c>
      <c r="G1584" s="90">
        <v>0</v>
      </c>
      <c r="H1584" s="90">
        <v>0</v>
      </c>
      <c r="I1584" s="90">
        <v>0</v>
      </c>
      <c r="J1584" s="90">
        <v>0</v>
      </c>
      <c r="K1584" s="90">
        <v>0</v>
      </c>
      <c r="L1584" s="90">
        <v>0</v>
      </c>
      <c r="M1584" s="90">
        <v>0</v>
      </c>
    </row>
    <row r="1585">
      <c r="A1585" s="3" t="s">
        <v>548</v>
      </c>
      <c r="B1585" s="3"/>
      <c r="C1585" s="90">
        <v>0</v>
      </c>
      <c r="D1585" s="90">
        <v>0</v>
      </c>
      <c r="E1585" s="90">
        <v>0</v>
      </c>
      <c r="F1585" s="90">
        <v>0</v>
      </c>
      <c r="G1585" s="90">
        <v>0</v>
      </c>
      <c r="H1585" s="90">
        <v>0</v>
      </c>
      <c r="I1585" s="90">
        <v>0</v>
      </c>
      <c r="J1585" s="90">
        <v>0</v>
      </c>
      <c r="K1585" s="90">
        <v>0</v>
      </c>
      <c r="L1585" s="90">
        <v>0</v>
      </c>
      <c r="M1585" s="90">
        <v>0</v>
      </c>
    </row>
    <row r="1586">
      <c r="A1586" s="3" t="s">
        <v>549</v>
      </c>
      <c r="B1586" s="3"/>
      <c r="C1586" s="90">
        <v>0</v>
      </c>
      <c r="D1586" s="90">
        <v>0</v>
      </c>
      <c r="E1586" s="90">
        <v>0</v>
      </c>
      <c r="F1586" s="90">
        <v>0</v>
      </c>
      <c r="G1586" s="90">
        <v>0</v>
      </c>
      <c r="H1586" s="90">
        <v>0</v>
      </c>
      <c r="I1586" s="90">
        <v>0</v>
      </c>
      <c r="J1586" s="90">
        <v>0</v>
      </c>
      <c r="K1586" s="90">
        <v>0</v>
      </c>
      <c r="L1586" s="90">
        <v>0</v>
      </c>
      <c r="M1586" s="90">
        <v>0</v>
      </c>
    </row>
    <row r="1587">
      <c r="A1587" s="3" t="s">
        <v>550</v>
      </c>
      <c r="B1587" s="3"/>
      <c r="C1587" s="90">
        <v>0</v>
      </c>
      <c r="D1587" s="90">
        <v>0</v>
      </c>
      <c r="E1587" s="90">
        <v>0</v>
      </c>
      <c r="F1587" s="90">
        <v>0</v>
      </c>
      <c r="G1587" s="90">
        <v>0</v>
      </c>
      <c r="H1587" s="90">
        <v>0</v>
      </c>
      <c r="I1587" s="90">
        <v>0</v>
      </c>
      <c r="J1587" s="90">
        <v>0</v>
      </c>
      <c r="K1587" s="90">
        <v>0</v>
      </c>
      <c r="L1587" s="90">
        <v>0</v>
      </c>
      <c r="M1587" s="90">
        <v>0</v>
      </c>
    </row>
    <row r="1588">
      <c r="A1588" s="3" t="s">
        <v>551</v>
      </c>
      <c r="B1588" s="3"/>
      <c r="C1588" s="90">
        <v>0</v>
      </c>
      <c r="D1588" s="90">
        <v>0</v>
      </c>
      <c r="E1588" s="90"/>
      <c r="F1588" s="90">
        <v>0</v>
      </c>
      <c r="G1588" s="90"/>
      <c r="H1588" s="90">
        <v>0</v>
      </c>
      <c r="I1588" s="90"/>
      <c r="J1588" s="90"/>
      <c r="K1588" s="90"/>
      <c r="L1588" s="90"/>
      <c r="M1588" s="90">
        <v>0</v>
      </c>
    </row>
    <row r="1590">
      <c r="A1590" s="25" t="s">
        <v>168</v>
      </c>
      <c r="B1590" s="25"/>
      <c r="C1590" s="25"/>
      <c r="D1590" s="25"/>
      <c r="E1590" s="25"/>
      <c r="F1590" s="25"/>
      <c r="G1590" s="25"/>
      <c r="H1590" s="25"/>
      <c r="I1590" s="25"/>
      <c r="J1590" s="25"/>
      <c r="K1590" s="25"/>
      <c r="L1590" s="24"/>
      <c r="M1590" s="24"/>
    </row>
    <row r="1593">
      <c r="A1593" s="22" t="s">
        <v>363</v>
      </c>
      <c r="C1593" s="22" t="s">
        <v>502</v>
      </c>
      <c r="D1593" s="22"/>
      <c r="E1593" s="22"/>
      <c r="F1593" s="22"/>
      <c r="G1593" s="22"/>
      <c r="H1593" s="22"/>
      <c r="I1593" s="22"/>
      <c r="J1593" s="22"/>
      <c r="K1593" s="22"/>
      <c r="L1593" s="22"/>
      <c r="M1593" s="22"/>
    </row>
    <row r="1594">
      <c r="A1594" s="22"/>
      <c r="C1594" s="22">
        <v>2026</v>
      </c>
      <c r="D1594" s="22">
        <v>2027</v>
      </c>
      <c r="E1594" s="22">
        <v>2028</v>
      </c>
      <c r="F1594" s="22">
        <v>2029</v>
      </c>
      <c r="G1594" s="22">
        <v>2030</v>
      </c>
      <c r="H1594" s="22">
        <v>2031</v>
      </c>
      <c r="I1594" s="22">
        <v>2032</v>
      </c>
      <c r="J1594" s="22">
        <v>2033</v>
      </c>
      <c r="K1594" s="22">
        <v>2034</v>
      </c>
      <c r="L1594" s="22">
        <v>2035</v>
      </c>
      <c r="M1594" s="22">
        <v>2036</v>
      </c>
    </row>
    <row r="1595">
      <c r="A1595" s="3" t="s">
        <v>504</v>
      </c>
      <c r="B1595" s="3"/>
      <c r="C1595" s="82">
        <v>0</v>
      </c>
      <c r="D1595" s="82">
        <v>0</v>
      </c>
      <c r="E1595" s="82">
        <v>0</v>
      </c>
      <c r="F1595" s="82">
        <v>0</v>
      </c>
      <c r="G1595" s="82">
        <v>0</v>
      </c>
      <c r="H1595" s="82">
        <v>0</v>
      </c>
      <c r="I1595" s="82">
        <v>0</v>
      </c>
      <c r="J1595" s="82">
        <v>0</v>
      </c>
      <c r="K1595" s="82">
        <v>0</v>
      </c>
      <c r="L1595" s="82">
        <v>0</v>
      </c>
      <c r="M1595" s="82">
        <v>0</v>
      </c>
    </row>
    <row r="1596">
      <c r="A1596" s="3" t="s">
        <v>506</v>
      </c>
      <c r="B1596" s="3"/>
      <c r="C1596" s="83">
        <v>0</v>
      </c>
      <c r="D1596" s="83">
        <v>0</v>
      </c>
      <c r="E1596" s="83">
        <v>0</v>
      </c>
      <c r="F1596" s="83">
        <v>0</v>
      </c>
      <c r="G1596" s="83">
        <v>0</v>
      </c>
      <c r="H1596" s="83">
        <v>0</v>
      </c>
      <c r="I1596" s="83">
        <v>0</v>
      </c>
      <c r="J1596" s="83">
        <v>0</v>
      </c>
      <c r="K1596" s="83">
        <v>0</v>
      </c>
      <c r="L1596" s="83">
        <v>0</v>
      </c>
      <c r="M1596" s="83">
        <v>0</v>
      </c>
    </row>
    <row r="1597">
      <c r="A1597" s="3" t="s">
        <v>507</v>
      </c>
      <c r="B1597" s="3"/>
      <c r="C1597" s="83">
        <v>0</v>
      </c>
      <c r="D1597" s="83">
        <v>0</v>
      </c>
      <c r="E1597" s="83">
        <v>0</v>
      </c>
      <c r="F1597" s="83">
        <v>0</v>
      </c>
      <c r="G1597" s="83">
        <v>0</v>
      </c>
      <c r="H1597" s="83">
        <v>0</v>
      </c>
      <c r="I1597" s="83">
        <v>0</v>
      </c>
      <c r="J1597" s="83">
        <v>0</v>
      </c>
      <c r="K1597" s="83">
        <v>0</v>
      </c>
      <c r="L1597" s="83">
        <v>0</v>
      </c>
      <c r="M1597" s="83">
        <v>0</v>
      </c>
    </row>
    <row r="1598">
      <c r="A1598" s="3" t="s">
        <v>508</v>
      </c>
      <c r="B1598" s="3"/>
      <c r="C1598" s="83">
        <v>0</v>
      </c>
      <c r="D1598" s="83">
        <v>0</v>
      </c>
      <c r="E1598" s="83">
        <v>0</v>
      </c>
      <c r="F1598" s="83">
        <v>0</v>
      </c>
      <c r="G1598" s="83">
        <v>0</v>
      </c>
      <c r="H1598" s="83">
        <v>0</v>
      </c>
      <c r="I1598" s="83">
        <v>0</v>
      </c>
      <c r="J1598" s="83">
        <v>0</v>
      </c>
      <c r="K1598" s="83">
        <v>0</v>
      </c>
      <c r="L1598" s="83">
        <v>0</v>
      </c>
      <c r="M1598" s="83">
        <v>0</v>
      </c>
    </row>
    <row r="1599">
      <c r="A1599" s="3" t="s">
        <v>509</v>
      </c>
      <c r="B1599" s="3"/>
      <c r="C1599" s="83">
        <v>0</v>
      </c>
      <c r="D1599" s="83">
        <v>0</v>
      </c>
      <c r="E1599" s="83">
        <v>0</v>
      </c>
      <c r="F1599" s="83">
        <v>0</v>
      </c>
      <c r="G1599" s="83">
        <v>0</v>
      </c>
      <c r="H1599" s="83">
        <v>0</v>
      </c>
      <c r="I1599" s="83">
        <v>0</v>
      </c>
      <c r="J1599" s="83">
        <v>0</v>
      </c>
      <c r="K1599" s="83">
        <v>0</v>
      </c>
      <c r="L1599" s="83">
        <v>0</v>
      </c>
      <c r="M1599" s="83">
        <v>0</v>
      </c>
    </row>
    <row r="1600">
      <c r="A1600" s="3" t="s">
        <v>510</v>
      </c>
      <c r="B1600" s="3"/>
      <c r="C1600" s="83">
        <v>0</v>
      </c>
      <c r="D1600" s="83">
        <v>0</v>
      </c>
      <c r="E1600" s="83">
        <v>0</v>
      </c>
      <c r="F1600" s="83">
        <v>0</v>
      </c>
      <c r="G1600" s="83">
        <v>0</v>
      </c>
      <c r="H1600" s="83">
        <v>0</v>
      </c>
      <c r="I1600" s="83">
        <v>0</v>
      </c>
      <c r="J1600" s="83">
        <v>0</v>
      </c>
      <c r="K1600" s="83">
        <v>0</v>
      </c>
      <c r="L1600" s="83">
        <v>0</v>
      </c>
      <c r="M1600" s="83">
        <v>0</v>
      </c>
    </row>
    <row r="1604">
      <c r="A1604" s="22" t="s">
        <v>529</v>
      </c>
      <c r="C1604" s="22" t="s">
        <v>363</v>
      </c>
      <c r="D1604" s="22"/>
      <c r="E1604" s="22"/>
      <c r="F1604" s="22"/>
      <c r="G1604" s="22"/>
      <c r="H1604" s="22"/>
      <c r="I1604" s="22"/>
      <c r="J1604" s="22"/>
      <c r="K1604" s="22"/>
      <c r="L1604" s="22"/>
      <c r="M1604" s="22"/>
    </row>
    <row r="1605">
      <c r="A1605" s="22"/>
      <c r="B1605" s="3"/>
      <c r="C1605" s="22">
        <v>2026</v>
      </c>
      <c r="D1605" s="22">
        <v>2027</v>
      </c>
      <c r="E1605" s="22">
        <v>2028</v>
      </c>
      <c r="F1605" s="22">
        <v>2029</v>
      </c>
      <c r="G1605" s="22">
        <v>2030</v>
      </c>
      <c r="H1605" s="22">
        <v>2031</v>
      </c>
      <c r="I1605" s="22">
        <v>2032</v>
      </c>
      <c r="J1605" s="22">
        <v>2033</v>
      </c>
      <c r="K1605" s="22">
        <v>2034</v>
      </c>
      <c r="L1605" s="22">
        <v>2035</v>
      </c>
      <c r="M1605" s="22">
        <v>2036</v>
      </c>
      <c r="N1605" s="22" t="s">
        <v>530</v>
      </c>
    </row>
    <row r="1606">
      <c r="A1606" s="3" t="s">
        <v>117</v>
      </c>
      <c r="B1606" s="3"/>
      <c r="C1606" s="74">
        <v>0</v>
      </c>
      <c r="D1606" s="74">
        <v>0</v>
      </c>
      <c r="E1606" s="74">
        <v>0</v>
      </c>
      <c r="F1606" s="74">
        <v>0</v>
      </c>
      <c r="G1606" s="74">
        <v>0</v>
      </c>
      <c r="H1606" s="74">
        <v>0</v>
      </c>
      <c r="I1606" s="74">
        <v>0</v>
      </c>
      <c r="J1606" s="74">
        <v>0</v>
      </c>
      <c r="K1606" s="74">
        <v>0</v>
      </c>
      <c r="L1606" s="74">
        <v>0</v>
      </c>
      <c r="M1606" s="74">
        <v>0</v>
      </c>
      <c r="N1606" s="78">
        <f>Sum(C1606:M1606)</f>
        <v>0</v>
      </c>
      <c r="O1606" s="76" t="e">
        <f>(N1606/N1613)</f>
        <v>#DIV/0!</v>
      </c>
      <c r="P1606" s="0" t="s">
        <v>531</v>
      </c>
    </row>
    <row r="1607">
      <c r="A1607" s="3" t="s">
        <v>121</v>
      </c>
      <c r="B1607" s="3"/>
      <c r="C1607" s="74">
        <v>0</v>
      </c>
      <c r="D1607" s="74">
        <v>0</v>
      </c>
      <c r="E1607" s="74">
        <v>0</v>
      </c>
      <c r="F1607" s="74">
        <v>0</v>
      </c>
      <c r="G1607" s="74">
        <v>0</v>
      </c>
      <c r="H1607" s="74">
        <v>0</v>
      </c>
      <c r="I1607" s="74">
        <v>0</v>
      </c>
      <c r="J1607" s="74">
        <v>0</v>
      </c>
      <c r="K1607" s="74">
        <v>0</v>
      </c>
      <c r="L1607" s="74">
        <v>0</v>
      </c>
      <c r="M1607" s="74">
        <v>0</v>
      </c>
      <c r="N1607" s="78">
        <f>Sum(C1607:M1607)</f>
        <v>0</v>
      </c>
      <c r="O1607" s="76" t="e">
        <f>(N1607/N1613)</f>
        <v>#DIV/0!</v>
      </c>
      <c r="P1607" s="0" t="s">
        <v>532</v>
      </c>
    </row>
    <row r="1608">
      <c r="A1608" s="3" t="s">
        <v>122</v>
      </c>
      <c r="B1608" s="3"/>
      <c r="C1608" s="74">
        <v>0</v>
      </c>
      <c r="D1608" s="74">
        <v>0</v>
      </c>
      <c r="E1608" s="74">
        <v>0</v>
      </c>
      <c r="F1608" s="74">
        <v>0</v>
      </c>
      <c r="G1608" s="74">
        <v>0</v>
      </c>
      <c r="H1608" s="74">
        <v>0</v>
      </c>
      <c r="I1608" s="74">
        <v>0</v>
      </c>
      <c r="J1608" s="74">
        <v>0</v>
      </c>
      <c r="K1608" s="74">
        <v>0</v>
      </c>
      <c r="L1608" s="74">
        <v>0</v>
      </c>
      <c r="M1608" s="74">
        <v>0</v>
      </c>
      <c r="N1608" s="78">
        <f>Sum(C1608:M1608)</f>
        <v>0</v>
      </c>
      <c r="O1608" s="76" t="e">
        <f>(N1608/N1613)</f>
        <v>#DIV/0!</v>
      </c>
      <c r="P1608" s="0" t="s">
        <v>533</v>
      </c>
    </row>
    <row r="1609">
      <c r="A1609" s="3" t="s">
        <v>124</v>
      </c>
      <c r="B1609" s="3"/>
      <c r="C1609" s="74">
        <v>0</v>
      </c>
      <c r="D1609" s="74">
        <v>0</v>
      </c>
      <c r="E1609" s="74">
        <v>0</v>
      </c>
      <c r="F1609" s="74">
        <v>0</v>
      </c>
      <c r="G1609" s="74">
        <v>0</v>
      </c>
      <c r="H1609" s="74">
        <v>0</v>
      </c>
      <c r="I1609" s="74">
        <v>0</v>
      </c>
      <c r="J1609" s="74">
        <v>0</v>
      </c>
      <c r="K1609" s="74">
        <v>0</v>
      </c>
      <c r="L1609" s="74">
        <v>0</v>
      </c>
      <c r="M1609" s="74">
        <v>0</v>
      </c>
      <c r="N1609" s="78">
        <f>Sum(C1609:M1609)</f>
        <v>0</v>
      </c>
      <c r="O1609" s="76" t="e">
        <f>(N1609/N1613)</f>
        <v>#DIV/0!</v>
      </c>
      <c r="P1609" s="0" t="s">
        <v>534</v>
      </c>
    </row>
    <row r="1610">
      <c r="A1610" s="3" t="s">
        <v>535</v>
      </c>
      <c r="B1610" s="3"/>
      <c r="C1610" s="74">
        <v>0</v>
      </c>
      <c r="D1610" s="74">
        <v>0</v>
      </c>
      <c r="E1610" s="74">
        <v>0</v>
      </c>
      <c r="F1610" s="74">
        <v>0</v>
      </c>
      <c r="G1610" s="74">
        <v>0</v>
      </c>
      <c r="H1610" s="74">
        <v>0</v>
      </c>
      <c r="I1610" s="74">
        <v>0</v>
      </c>
      <c r="J1610" s="74">
        <v>0</v>
      </c>
      <c r="K1610" s="74">
        <v>0</v>
      </c>
      <c r="L1610" s="74">
        <v>0</v>
      </c>
      <c r="M1610" s="74">
        <v>0</v>
      </c>
      <c r="N1610" s="78">
        <f>Sum(C1610:M1610)</f>
        <v>0</v>
      </c>
      <c r="O1610" s="76" t="e">
        <f>(N1610/N1613)</f>
        <v>#DIV/0!</v>
      </c>
      <c r="P1610" s="0" t="s">
        <v>536</v>
      </c>
    </row>
    <row r="1611">
      <c r="A1611" s="3" t="s">
        <v>537</v>
      </c>
      <c r="B1611" s="3"/>
      <c r="C1611" s="74">
        <v>0</v>
      </c>
      <c r="D1611" s="74">
        <v>0</v>
      </c>
      <c r="E1611" s="74">
        <v>0</v>
      </c>
      <c r="F1611" s="74">
        <v>0</v>
      </c>
      <c r="G1611" s="74">
        <v>0</v>
      </c>
      <c r="H1611" s="74">
        <v>0</v>
      </c>
      <c r="I1611" s="74">
        <v>0</v>
      </c>
      <c r="J1611" s="74">
        <v>0</v>
      </c>
      <c r="K1611" s="74">
        <v>0</v>
      </c>
      <c r="L1611" s="74">
        <v>0</v>
      </c>
      <c r="M1611" s="74">
        <v>0</v>
      </c>
      <c r="N1611" s="78">
        <f>Sum(C1611:M1611)</f>
        <v>0</v>
      </c>
      <c r="O1611" s="76" t="e">
        <f>(N1611/N1613)</f>
        <v>#DIV/0!</v>
      </c>
      <c r="P1611" s="0" t="s">
        <v>538</v>
      </c>
    </row>
    <row r="1612">
      <c r="A1612" s="3" t="s">
        <v>539</v>
      </c>
      <c r="B1612" s="3"/>
      <c r="C1612" s="74">
        <v>0</v>
      </c>
      <c r="D1612" s="74">
        <v>0</v>
      </c>
      <c r="E1612" s="74">
        <v>0</v>
      </c>
      <c r="F1612" s="74">
        <v>0</v>
      </c>
      <c r="G1612" s="74">
        <v>0</v>
      </c>
      <c r="H1612" s="74">
        <v>0</v>
      </c>
      <c r="I1612" s="74">
        <v>0</v>
      </c>
      <c r="J1612" s="74">
        <v>0</v>
      </c>
      <c r="K1612" s="74">
        <v>0</v>
      </c>
      <c r="L1612" s="74">
        <v>0</v>
      </c>
      <c r="M1612" s="74">
        <v>0</v>
      </c>
      <c r="N1612" s="78">
        <f>Sum(C1612:M1612)</f>
        <v>0</v>
      </c>
      <c r="O1612" s="76" t="e">
        <f>(N1612/N1613)</f>
        <v>#DIV/0!</v>
      </c>
      <c r="P1612" s="0" t="s">
        <v>540</v>
      </c>
    </row>
    <row r="1613">
      <c r="A1613" s="3" t="s">
        <v>541</v>
      </c>
      <c r="B1613" s="3"/>
      <c r="C1613" s="74"/>
      <c r="D1613" s="74"/>
      <c r="E1613" s="74"/>
      <c r="F1613" s="74"/>
      <c r="G1613" s="74"/>
      <c r="H1613" s="74"/>
      <c r="I1613" s="74"/>
      <c r="J1613" s="74"/>
      <c r="K1613" s="74"/>
      <c r="L1613" s="74"/>
      <c r="M1613" s="74"/>
      <c r="N1613" s="78">
        <f>Sum(C1613:M1613)</f>
        <v>0</v>
      </c>
    </row>
    <row r="1614">
      <c r="A1614" s="3"/>
      <c r="B1614" s="3"/>
      <c r="C1614" s="74"/>
      <c r="D1614" s="74"/>
      <c r="E1614" s="74"/>
      <c r="F1614" s="74"/>
      <c r="G1614" s="74"/>
      <c r="H1614" s="74"/>
      <c r="I1614" s="74"/>
      <c r="J1614" s="74"/>
      <c r="K1614" s="74"/>
      <c r="L1614" s="74"/>
      <c r="M1614" s="74"/>
      <c r="N1614" s="78"/>
    </row>
    <row r="1615">
      <c r="A1615" s="3" t="s">
        <v>542</v>
      </c>
      <c r="B1615" s="3"/>
      <c r="C1615" s="74">
        <v>0</v>
      </c>
      <c r="D1615" s="74">
        <v>0</v>
      </c>
      <c r="E1615" s="74">
        <v>0</v>
      </c>
      <c r="F1615" s="74">
        <v>0</v>
      </c>
      <c r="G1615" s="74">
        <v>0</v>
      </c>
      <c r="H1615" s="74">
        <v>0</v>
      </c>
      <c r="I1615" s="74">
        <v>0</v>
      </c>
      <c r="J1615" s="74">
        <v>0</v>
      </c>
      <c r="K1615" s="74">
        <v>0</v>
      </c>
      <c r="L1615" s="74">
        <v>0</v>
      </c>
      <c r="M1615" s="74">
        <v>0</v>
      </c>
      <c r="N1615" s="78">
        <f>Sum(C1615:M1615)</f>
        <v>0</v>
      </c>
    </row>
    <row r="1617">
      <c r="A1617" s="22" t="s">
        <v>543</v>
      </c>
      <c r="C1617" s="22" t="s">
        <v>363</v>
      </c>
      <c r="D1617" s="22"/>
      <c r="E1617" s="22"/>
      <c r="F1617" s="22"/>
      <c r="G1617" s="22"/>
      <c r="H1617" s="22"/>
      <c r="I1617" s="22"/>
      <c r="J1617" s="22"/>
      <c r="K1617" s="22"/>
      <c r="L1617" s="22"/>
      <c r="M1617" s="22"/>
    </row>
    <row r="1618">
      <c r="A1618" s="22"/>
      <c r="C1618" s="22">
        <v>2026</v>
      </c>
      <c r="D1618" s="22">
        <v>2027</v>
      </c>
      <c r="E1618" s="22">
        <v>2028</v>
      </c>
      <c r="F1618" s="22">
        <v>2029</v>
      </c>
      <c r="G1618" s="22">
        <v>2030</v>
      </c>
      <c r="H1618" s="22">
        <v>2031</v>
      </c>
      <c r="I1618" s="22">
        <v>2032</v>
      </c>
      <c r="J1618" s="22">
        <v>2033</v>
      </c>
      <c r="K1618" s="22">
        <v>2034</v>
      </c>
      <c r="L1618" s="22">
        <v>2035</v>
      </c>
      <c r="M1618" s="22">
        <v>2036</v>
      </c>
    </row>
    <row r="1619">
      <c r="A1619" s="3"/>
      <c r="B1619" s="3"/>
      <c r="C1619" s="74"/>
      <c r="D1619" s="74"/>
      <c r="E1619" s="74"/>
      <c r="F1619" s="74"/>
      <c r="G1619" s="74"/>
      <c r="H1619" s="74"/>
      <c r="I1619" s="74"/>
      <c r="J1619" s="74"/>
      <c r="K1619" s="74"/>
      <c r="L1619" s="74"/>
      <c r="M1619" s="74"/>
      <c r="N1619" s="78">
        <f>Sum(C1619:M1619)</f>
        <v>0</v>
      </c>
    </row>
    <row r="1622">
      <c r="A1622" s="22" t="s">
        <v>473</v>
      </c>
      <c r="C1622" s="22" t="s">
        <v>544</v>
      </c>
      <c r="D1622" s="22"/>
      <c r="E1622" s="22"/>
      <c r="F1622" s="22"/>
      <c r="G1622" s="22"/>
      <c r="H1622" s="22"/>
      <c r="I1622" s="22"/>
      <c r="J1622" s="22"/>
      <c r="K1622" s="22"/>
      <c r="L1622" s="22"/>
      <c r="M1622" s="22"/>
    </row>
    <row r="1623">
      <c r="A1623" s="22"/>
      <c r="C1623" s="22">
        <v>2026</v>
      </c>
      <c r="D1623" s="22">
        <v>2027</v>
      </c>
      <c r="E1623" s="22">
        <v>2028</v>
      </c>
      <c r="F1623" s="22">
        <v>2029</v>
      </c>
      <c r="G1623" s="22">
        <v>2030</v>
      </c>
      <c r="H1623" s="22">
        <v>2031</v>
      </c>
      <c r="I1623" s="22">
        <v>2032</v>
      </c>
      <c r="J1623" s="22">
        <v>2033</v>
      </c>
      <c r="K1623" s="22">
        <v>2034</v>
      </c>
      <c r="L1623" s="22">
        <v>2035</v>
      </c>
      <c r="M1623" s="22">
        <v>2036</v>
      </c>
    </row>
    <row r="1624">
      <c r="A1624" s="3" t="s">
        <v>545</v>
      </c>
      <c r="B1624" s="3"/>
      <c r="C1624" s="90">
        <v>0</v>
      </c>
      <c r="D1624" s="90">
        <v>0</v>
      </c>
      <c r="E1624" s="90">
        <v>0</v>
      </c>
      <c r="F1624" s="90">
        <v>0</v>
      </c>
      <c r="G1624" s="90">
        <v>0</v>
      </c>
      <c r="H1624" s="90">
        <v>0</v>
      </c>
      <c r="I1624" s="90">
        <v>0</v>
      </c>
      <c r="J1624" s="90">
        <v>0</v>
      </c>
      <c r="K1624" s="90">
        <v>0</v>
      </c>
      <c r="L1624" s="90">
        <v>0</v>
      </c>
      <c r="M1624" s="90">
        <v>0</v>
      </c>
    </row>
    <row r="1625">
      <c r="A1625" s="3" t="s">
        <v>546</v>
      </c>
      <c r="B1625" s="3"/>
      <c r="C1625" s="90">
        <v>0</v>
      </c>
      <c r="D1625" s="90">
        <v>0</v>
      </c>
      <c r="E1625" s="90">
        <v>0</v>
      </c>
      <c r="F1625" s="90">
        <v>0</v>
      </c>
      <c r="G1625" s="90">
        <v>0</v>
      </c>
      <c r="H1625" s="90">
        <v>0</v>
      </c>
      <c r="I1625" s="90">
        <v>0</v>
      </c>
      <c r="J1625" s="90">
        <v>0</v>
      </c>
      <c r="K1625" s="90">
        <v>0</v>
      </c>
      <c r="L1625" s="90">
        <v>0</v>
      </c>
      <c r="M1625" s="90">
        <v>0</v>
      </c>
    </row>
    <row r="1626">
      <c r="A1626" s="3" t="s">
        <v>547</v>
      </c>
      <c r="B1626" s="3"/>
      <c r="C1626" s="90">
        <v>0</v>
      </c>
      <c r="D1626" s="90">
        <v>0</v>
      </c>
      <c r="E1626" s="90">
        <v>0</v>
      </c>
      <c r="F1626" s="90">
        <v>0</v>
      </c>
      <c r="G1626" s="90">
        <v>0</v>
      </c>
      <c r="H1626" s="90">
        <v>0</v>
      </c>
      <c r="I1626" s="90">
        <v>0</v>
      </c>
      <c r="J1626" s="90">
        <v>0</v>
      </c>
      <c r="K1626" s="90">
        <v>0</v>
      </c>
      <c r="L1626" s="90">
        <v>0</v>
      </c>
      <c r="M1626" s="90">
        <v>0</v>
      </c>
    </row>
    <row r="1627">
      <c r="A1627" s="3" t="s">
        <v>548</v>
      </c>
      <c r="B1627" s="3"/>
      <c r="C1627" s="90">
        <v>0</v>
      </c>
      <c r="D1627" s="90">
        <v>0</v>
      </c>
      <c r="E1627" s="90">
        <v>0</v>
      </c>
      <c r="F1627" s="90">
        <v>0</v>
      </c>
      <c r="G1627" s="90">
        <v>0</v>
      </c>
      <c r="H1627" s="90">
        <v>0</v>
      </c>
      <c r="I1627" s="90">
        <v>0</v>
      </c>
      <c r="J1627" s="90">
        <v>0</v>
      </c>
      <c r="K1627" s="90">
        <v>0</v>
      </c>
      <c r="L1627" s="90">
        <v>0</v>
      </c>
      <c r="M1627" s="90">
        <v>0</v>
      </c>
    </row>
    <row r="1628">
      <c r="A1628" s="3" t="s">
        <v>549</v>
      </c>
      <c r="B1628" s="3"/>
      <c r="C1628" s="90">
        <v>0</v>
      </c>
      <c r="D1628" s="90">
        <v>0</v>
      </c>
      <c r="E1628" s="90">
        <v>0</v>
      </c>
      <c r="F1628" s="90">
        <v>0</v>
      </c>
      <c r="G1628" s="90">
        <v>0</v>
      </c>
      <c r="H1628" s="90">
        <v>0</v>
      </c>
      <c r="I1628" s="90">
        <v>0</v>
      </c>
      <c r="J1628" s="90">
        <v>0</v>
      </c>
      <c r="K1628" s="90">
        <v>0</v>
      </c>
      <c r="L1628" s="90">
        <v>0</v>
      </c>
      <c r="M1628" s="90">
        <v>0</v>
      </c>
    </row>
    <row r="1629">
      <c r="A1629" s="3" t="s">
        <v>550</v>
      </c>
      <c r="B1629" s="3"/>
      <c r="C1629" s="90">
        <v>0</v>
      </c>
      <c r="D1629" s="90">
        <v>0</v>
      </c>
      <c r="E1629" s="90">
        <v>0</v>
      </c>
      <c r="F1629" s="90">
        <v>0</v>
      </c>
      <c r="G1629" s="90">
        <v>0</v>
      </c>
      <c r="H1629" s="90">
        <v>0</v>
      </c>
      <c r="I1629" s="90">
        <v>0</v>
      </c>
      <c r="J1629" s="90">
        <v>0</v>
      </c>
      <c r="K1629" s="90">
        <v>0</v>
      </c>
      <c r="L1629" s="90">
        <v>0</v>
      </c>
      <c r="M1629" s="90">
        <v>0</v>
      </c>
    </row>
    <row r="1630">
      <c r="A1630" s="3" t="s">
        <v>551</v>
      </c>
      <c r="B1630" s="3"/>
      <c r="C1630" s="90">
        <v>0</v>
      </c>
      <c r="D1630" s="90">
        <v>0</v>
      </c>
      <c r="E1630" s="90"/>
      <c r="F1630" s="90">
        <v>0</v>
      </c>
      <c r="G1630" s="90"/>
      <c r="H1630" s="90">
        <v>0</v>
      </c>
      <c r="I1630" s="90"/>
      <c r="J1630" s="90"/>
      <c r="K1630" s="90"/>
      <c r="L1630" s="90"/>
      <c r="M1630" s="90">
        <v>0</v>
      </c>
    </row>
    <row r="1632">
      <c r="A1632" s="25" t="s">
        <v>169</v>
      </c>
      <c r="B1632" s="25"/>
      <c r="C1632" s="25"/>
      <c r="D1632" s="25"/>
      <c r="E1632" s="25"/>
      <c r="F1632" s="25"/>
      <c r="G1632" s="25"/>
      <c r="H1632" s="25"/>
      <c r="I1632" s="25"/>
      <c r="J1632" s="25"/>
      <c r="K1632" s="25"/>
      <c r="L1632" s="24"/>
      <c r="M1632" s="24"/>
    </row>
    <row r="1635">
      <c r="A1635" s="22" t="s">
        <v>363</v>
      </c>
      <c r="C1635" s="22" t="s">
        <v>502</v>
      </c>
      <c r="D1635" s="22"/>
      <c r="E1635" s="22"/>
      <c r="F1635" s="22"/>
      <c r="G1635" s="22"/>
      <c r="H1635" s="22"/>
      <c r="I1635" s="22"/>
      <c r="J1635" s="22"/>
      <c r="K1635" s="22"/>
      <c r="L1635" s="22"/>
      <c r="M1635" s="22"/>
    </row>
    <row r="1636">
      <c r="A1636" s="22"/>
      <c r="C1636" s="22">
        <v>2026</v>
      </c>
      <c r="D1636" s="22">
        <v>2027</v>
      </c>
      <c r="E1636" s="22">
        <v>2028</v>
      </c>
      <c r="F1636" s="22">
        <v>2029</v>
      </c>
      <c r="G1636" s="22">
        <v>2030</v>
      </c>
      <c r="H1636" s="22">
        <v>2031</v>
      </c>
      <c r="I1636" s="22">
        <v>2032</v>
      </c>
      <c r="J1636" s="22">
        <v>2033</v>
      </c>
      <c r="K1636" s="22">
        <v>2034</v>
      </c>
      <c r="L1636" s="22">
        <v>2035</v>
      </c>
      <c r="M1636" s="22">
        <v>2036</v>
      </c>
    </row>
    <row r="1637">
      <c r="A1637" s="3" t="s">
        <v>504</v>
      </c>
      <c r="B1637" s="3"/>
      <c r="C1637" s="82">
        <v>0</v>
      </c>
      <c r="D1637" s="82">
        <v>0</v>
      </c>
      <c r="E1637" s="82">
        <v>0</v>
      </c>
      <c r="F1637" s="82">
        <v>0</v>
      </c>
      <c r="G1637" s="82">
        <v>0</v>
      </c>
      <c r="H1637" s="82">
        <v>0</v>
      </c>
      <c r="I1637" s="82">
        <v>0</v>
      </c>
      <c r="J1637" s="82">
        <v>0</v>
      </c>
      <c r="K1637" s="82">
        <v>0</v>
      </c>
      <c r="L1637" s="82">
        <v>0</v>
      </c>
      <c r="M1637" s="82">
        <v>0</v>
      </c>
    </row>
    <row r="1638">
      <c r="A1638" s="3" t="s">
        <v>506</v>
      </c>
      <c r="B1638" s="3"/>
      <c r="C1638" s="83">
        <v>0</v>
      </c>
      <c r="D1638" s="83">
        <v>0</v>
      </c>
      <c r="E1638" s="83">
        <v>0</v>
      </c>
      <c r="F1638" s="83">
        <v>0</v>
      </c>
      <c r="G1638" s="83">
        <v>0</v>
      </c>
      <c r="H1638" s="83">
        <v>0</v>
      </c>
      <c r="I1638" s="83">
        <v>0</v>
      </c>
      <c r="J1638" s="83">
        <v>0</v>
      </c>
      <c r="K1638" s="83">
        <v>0</v>
      </c>
      <c r="L1638" s="83">
        <v>0</v>
      </c>
      <c r="M1638" s="83">
        <v>0</v>
      </c>
    </row>
    <row r="1639">
      <c r="A1639" s="3" t="s">
        <v>507</v>
      </c>
      <c r="B1639" s="3"/>
      <c r="C1639" s="83">
        <v>0</v>
      </c>
      <c r="D1639" s="83">
        <v>0</v>
      </c>
      <c r="E1639" s="83">
        <v>0</v>
      </c>
      <c r="F1639" s="83">
        <v>0</v>
      </c>
      <c r="G1639" s="83">
        <v>0</v>
      </c>
      <c r="H1639" s="83">
        <v>0</v>
      </c>
      <c r="I1639" s="83">
        <v>0</v>
      </c>
      <c r="J1639" s="83">
        <v>0</v>
      </c>
      <c r="K1639" s="83">
        <v>0</v>
      </c>
      <c r="L1639" s="83">
        <v>0</v>
      </c>
      <c r="M1639" s="83">
        <v>0</v>
      </c>
    </row>
    <row r="1640">
      <c r="A1640" s="3" t="s">
        <v>508</v>
      </c>
      <c r="B1640" s="3"/>
      <c r="C1640" s="83">
        <v>0</v>
      </c>
      <c r="D1640" s="83">
        <v>0</v>
      </c>
      <c r="E1640" s="83">
        <v>0</v>
      </c>
      <c r="F1640" s="83">
        <v>0</v>
      </c>
      <c r="G1640" s="83">
        <v>0</v>
      </c>
      <c r="H1640" s="83">
        <v>0</v>
      </c>
      <c r="I1640" s="83">
        <v>0</v>
      </c>
      <c r="J1640" s="83">
        <v>0</v>
      </c>
      <c r="K1640" s="83">
        <v>0</v>
      </c>
      <c r="L1640" s="83">
        <v>0</v>
      </c>
      <c r="M1640" s="83">
        <v>0</v>
      </c>
    </row>
    <row r="1641">
      <c r="A1641" s="3" t="s">
        <v>509</v>
      </c>
      <c r="B1641" s="3"/>
      <c r="C1641" s="83">
        <v>0</v>
      </c>
      <c r="D1641" s="83">
        <v>0</v>
      </c>
      <c r="E1641" s="83">
        <v>0</v>
      </c>
      <c r="F1641" s="83">
        <v>0</v>
      </c>
      <c r="G1641" s="83">
        <v>0</v>
      </c>
      <c r="H1641" s="83">
        <v>0</v>
      </c>
      <c r="I1641" s="83">
        <v>0</v>
      </c>
      <c r="J1641" s="83">
        <v>0</v>
      </c>
      <c r="K1641" s="83">
        <v>0</v>
      </c>
      <c r="L1641" s="83">
        <v>0</v>
      </c>
      <c r="M1641" s="83">
        <v>0</v>
      </c>
    </row>
    <row r="1642">
      <c r="A1642" s="3" t="s">
        <v>510</v>
      </c>
      <c r="B1642" s="3"/>
      <c r="C1642" s="83">
        <v>0</v>
      </c>
      <c r="D1642" s="83">
        <v>0</v>
      </c>
      <c r="E1642" s="83">
        <v>0</v>
      </c>
      <c r="F1642" s="83">
        <v>0</v>
      </c>
      <c r="G1642" s="83">
        <v>0</v>
      </c>
      <c r="H1642" s="83">
        <v>0</v>
      </c>
      <c r="I1642" s="83">
        <v>0</v>
      </c>
      <c r="J1642" s="83">
        <v>0</v>
      </c>
      <c r="K1642" s="83">
        <v>0</v>
      </c>
      <c r="L1642" s="83">
        <v>0</v>
      </c>
      <c r="M1642" s="83">
        <v>0</v>
      </c>
    </row>
    <row r="1646">
      <c r="A1646" s="22" t="s">
        <v>529</v>
      </c>
      <c r="C1646" s="22" t="s">
        <v>363</v>
      </c>
      <c r="D1646" s="22"/>
      <c r="E1646" s="22"/>
      <c r="F1646" s="22"/>
      <c r="G1646" s="22"/>
      <c r="H1646" s="22"/>
      <c r="I1646" s="22"/>
      <c r="J1646" s="22"/>
      <c r="K1646" s="22"/>
      <c r="L1646" s="22"/>
      <c r="M1646" s="22"/>
    </row>
    <row r="1647">
      <c r="A1647" s="22"/>
      <c r="B1647" s="3"/>
      <c r="C1647" s="22">
        <v>2026</v>
      </c>
      <c r="D1647" s="22">
        <v>2027</v>
      </c>
      <c r="E1647" s="22">
        <v>2028</v>
      </c>
      <c r="F1647" s="22">
        <v>2029</v>
      </c>
      <c r="G1647" s="22">
        <v>2030</v>
      </c>
      <c r="H1647" s="22">
        <v>2031</v>
      </c>
      <c r="I1647" s="22">
        <v>2032</v>
      </c>
      <c r="J1647" s="22">
        <v>2033</v>
      </c>
      <c r="K1647" s="22">
        <v>2034</v>
      </c>
      <c r="L1647" s="22">
        <v>2035</v>
      </c>
      <c r="M1647" s="22">
        <v>2036</v>
      </c>
      <c r="N1647" s="22" t="s">
        <v>530</v>
      </c>
    </row>
    <row r="1648">
      <c r="A1648" s="3" t="s">
        <v>117</v>
      </c>
      <c r="B1648" s="3"/>
      <c r="C1648" s="74">
        <v>0</v>
      </c>
      <c r="D1648" s="74">
        <v>0</v>
      </c>
      <c r="E1648" s="74">
        <v>0</v>
      </c>
      <c r="F1648" s="74">
        <v>0</v>
      </c>
      <c r="G1648" s="74">
        <v>0</v>
      </c>
      <c r="H1648" s="74">
        <v>0</v>
      </c>
      <c r="I1648" s="74">
        <v>0</v>
      </c>
      <c r="J1648" s="74">
        <v>0</v>
      </c>
      <c r="K1648" s="74">
        <v>0</v>
      </c>
      <c r="L1648" s="74">
        <v>0</v>
      </c>
      <c r="M1648" s="74">
        <v>0</v>
      </c>
      <c r="N1648" s="78">
        <f>Sum(C1648:M1648)</f>
        <v>0</v>
      </c>
      <c r="O1648" s="76" t="e">
        <f>(N1648/N1655)</f>
        <v>#DIV/0!</v>
      </c>
      <c r="P1648" s="0" t="s">
        <v>531</v>
      </c>
    </row>
    <row r="1649">
      <c r="A1649" s="3" t="s">
        <v>121</v>
      </c>
      <c r="B1649" s="3"/>
      <c r="C1649" s="74">
        <v>0</v>
      </c>
      <c r="D1649" s="74">
        <v>0</v>
      </c>
      <c r="E1649" s="74">
        <v>0</v>
      </c>
      <c r="F1649" s="74">
        <v>0</v>
      </c>
      <c r="G1649" s="74">
        <v>0</v>
      </c>
      <c r="H1649" s="74">
        <v>0</v>
      </c>
      <c r="I1649" s="74">
        <v>0</v>
      </c>
      <c r="J1649" s="74">
        <v>0</v>
      </c>
      <c r="K1649" s="74">
        <v>0</v>
      </c>
      <c r="L1649" s="74">
        <v>0</v>
      </c>
      <c r="M1649" s="74">
        <v>0</v>
      </c>
      <c r="N1649" s="78">
        <f>Sum(C1649:M1649)</f>
        <v>0</v>
      </c>
      <c r="O1649" s="76" t="e">
        <f>(N1649/N1655)</f>
        <v>#DIV/0!</v>
      </c>
      <c r="P1649" s="0" t="s">
        <v>532</v>
      </c>
    </row>
    <row r="1650">
      <c r="A1650" s="3" t="s">
        <v>122</v>
      </c>
      <c r="B1650" s="3"/>
      <c r="C1650" s="74">
        <v>0</v>
      </c>
      <c r="D1650" s="74">
        <v>0</v>
      </c>
      <c r="E1650" s="74">
        <v>0</v>
      </c>
      <c r="F1650" s="74">
        <v>0</v>
      </c>
      <c r="G1650" s="74">
        <v>0</v>
      </c>
      <c r="H1650" s="74">
        <v>0</v>
      </c>
      <c r="I1650" s="74">
        <v>0</v>
      </c>
      <c r="J1650" s="74">
        <v>0</v>
      </c>
      <c r="K1650" s="74">
        <v>0</v>
      </c>
      <c r="L1650" s="74">
        <v>0</v>
      </c>
      <c r="M1650" s="74">
        <v>0</v>
      </c>
      <c r="N1650" s="78">
        <f>Sum(C1650:M1650)</f>
        <v>0</v>
      </c>
      <c r="O1650" s="76" t="e">
        <f>(N1650/N1655)</f>
        <v>#DIV/0!</v>
      </c>
      <c r="P1650" s="0" t="s">
        <v>533</v>
      </c>
    </row>
    <row r="1651">
      <c r="A1651" s="3" t="s">
        <v>124</v>
      </c>
      <c r="B1651" s="3"/>
      <c r="C1651" s="74">
        <v>0</v>
      </c>
      <c r="D1651" s="74">
        <v>0</v>
      </c>
      <c r="E1651" s="74">
        <v>0</v>
      </c>
      <c r="F1651" s="74">
        <v>0</v>
      </c>
      <c r="G1651" s="74">
        <v>0</v>
      </c>
      <c r="H1651" s="74">
        <v>0</v>
      </c>
      <c r="I1651" s="74">
        <v>0</v>
      </c>
      <c r="J1651" s="74">
        <v>0</v>
      </c>
      <c r="K1651" s="74">
        <v>0</v>
      </c>
      <c r="L1651" s="74">
        <v>0</v>
      </c>
      <c r="M1651" s="74">
        <v>0</v>
      </c>
      <c r="N1651" s="78">
        <f>Sum(C1651:M1651)</f>
        <v>0</v>
      </c>
      <c r="O1651" s="76" t="e">
        <f>(N1651/N1655)</f>
        <v>#DIV/0!</v>
      </c>
      <c r="P1651" s="0" t="s">
        <v>534</v>
      </c>
    </row>
    <row r="1652">
      <c r="A1652" s="3" t="s">
        <v>535</v>
      </c>
      <c r="B1652" s="3"/>
      <c r="C1652" s="74">
        <v>0</v>
      </c>
      <c r="D1652" s="74">
        <v>0</v>
      </c>
      <c r="E1652" s="74">
        <v>0</v>
      </c>
      <c r="F1652" s="74">
        <v>0</v>
      </c>
      <c r="G1652" s="74">
        <v>0</v>
      </c>
      <c r="H1652" s="74">
        <v>0</v>
      </c>
      <c r="I1652" s="74">
        <v>0</v>
      </c>
      <c r="J1652" s="74">
        <v>0</v>
      </c>
      <c r="K1652" s="74">
        <v>0</v>
      </c>
      <c r="L1652" s="74">
        <v>0</v>
      </c>
      <c r="M1652" s="74">
        <v>0</v>
      </c>
      <c r="N1652" s="78">
        <f>Sum(C1652:M1652)</f>
        <v>0</v>
      </c>
      <c r="O1652" s="76" t="e">
        <f>(N1652/N1655)</f>
        <v>#DIV/0!</v>
      </c>
      <c r="P1652" s="0" t="s">
        <v>536</v>
      </c>
    </row>
    <row r="1653">
      <c r="A1653" s="3" t="s">
        <v>537</v>
      </c>
      <c r="B1653" s="3"/>
      <c r="C1653" s="74">
        <v>0</v>
      </c>
      <c r="D1653" s="74">
        <v>0</v>
      </c>
      <c r="E1653" s="74">
        <v>0</v>
      </c>
      <c r="F1653" s="74">
        <v>0</v>
      </c>
      <c r="G1653" s="74">
        <v>0</v>
      </c>
      <c r="H1653" s="74">
        <v>0</v>
      </c>
      <c r="I1653" s="74">
        <v>0</v>
      </c>
      <c r="J1653" s="74">
        <v>0</v>
      </c>
      <c r="K1653" s="74">
        <v>0</v>
      </c>
      <c r="L1653" s="74">
        <v>0</v>
      </c>
      <c r="M1653" s="74">
        <v>0</v>
      </c>
      <c r="N1653" s="78">
        <f>Sum(C1653:M1653)</f>
        <v>0</v>
      </c>
      <c r="O1653" s="76" t="e">
        <f>(N1653/N1655)</f>
        <v>#DIV/0!</v>
      </c>
      <c r="P1653" s="0" t="s">
        <v>538</v>
      </c>
    </row>
    <row r="1654">
      <c r="A1654" s="3" t="s">
        <v>539</v>
      </c>
      <c r="B1654" s="3"/>
      <c r="C1654" s="74">
        <v>0</v>
      </c>
      <c r="D1654" s="74">
        <v>0</v>
      </c>
      <c r="E1654" s="74">
        <v>0</v>
      </c>
      <c r="F1654" s="74">
        <v>0</v>
      </c>
      <c r="G1654" s="74">
        <v>0</v>
      </c>
      <c r="H1654" s="74">
        <v>0</v>
      </c>
      <c r="I1654" s="74">
        <v>0</v>
      </c>
      <c r="J1654" s="74">
        <v>0</v>
      </c>
      <c r="K1654" s="74">
        <v>0</v>
      </c>
      <c r="L1654" s="74">
        <v>0</v>
      </c>
      <c r="M1654" s="74">
        <v>0</v>
      </c>
      <c r="N1654" s="78">
        <f>Sum(C1654:M1654)</f>
        <v>0</v>
      </c>
      <c r="O1654" s="76" t="e">
        <f>(N1654/N1655)</f>
        <v>#DIV/0!</v>
      </c>
      <c r="P1654" s="0" t="s">
        <v>540</v>
      </c>
    </row>
    <row r="1655">
      <c r="A1655" s="3" t="s">
        <v>541</v>
      </c>
      <c r="B1655" s="3"/>
      <c r="C1655" s="74"/>
      <c r="D1655" s="74"/>
      <c r="E1655" s="74"/>
      <c r="F1655" s="74"/>
      <c r="G1655" s="74"/>
      <c r="H1655" s="74"/>
      <c r="I1655" s="74"/>
      <c r="J1655" s="74"/>
      <c r="K1655" s="74"/>
      <c r="L1655" s="74"/>
      <c r="M1655" s="74"/>
      <c r="N1655" s="78">
        <f>Sum(C1655:M1655)</f>
        <v>0</v>
      </c>
    </row>
    <row r="1656">
      <c r="A1656" s="3"/>
      <c r="B1656" s="3"/>
      <c r="C1656" s="74"/>
      <c r="D1656" s="74"/>
      <c r="E1656" s="74"/>
      <c r="F1656" s="74"/>
      <c r="G1656" s="74"/>
      <c r="H1656" s="74"/>
      <c r="I1656" s="74"/>
      <c r="J1656" s="74"/>
      <c r="K1656" s="74"/>
      <c r="L1656" s="74"/>
      <c r="M1656" s="74"/>
      <c r="N1656" s="78"/>
    </row>
    <row r="1657">
      <c r="A1657" s="3" t="s">
        <v>542</v>
      </c>
      <c r="B1657" s="3"/>
      <c r="C1657" s="74">
        <v>0</v>
      </c>
      <c r="D1657" s="74">
        <v>0</v>
      </c>
      <c r="E1657" s="74">
        <v>0</v>
      </c>
      <c r="F1657" s="74">
        <v>0</v>
      </c>
      <c r="G1657" s="74">
        <v>0</v>
      </c>
      <c r="H1657" s="74">
        <v>0</v>
      </c>
      <c r="I1657" s="74">
        <v>0</v>
      </c>
      <c r="J1657" s="74">
        <v>0</v>
      </c>
      <c r="K1657" s="74">
        <v>0</v>
      </c>
      <c r="L1657" s="74">
        <v>0</v>
      </c>
      <c r="M1657" s="74">
        <v>0</v>
      </c>
      <c r="N1657" s="78">
        <f>Sum(C1657:M1657)</f>
        <v>0</v>
      </c>
    </row>
    <row r="1659">
      <c r="A1659" s="22" t="s">
        <v>543</v>
      </c>
      <c r="C1659" s="22" t="s">
        <v>363</v>
      </c>
      <c r="D1659" s="22"/>
      <c r="E1659" s="22"/>
      <c r="F1659" s="22"/>
      <c r="G1659" s="22"/>
      <c r="H1659" s="22"/>
      <c r="I1659" s="22"/>
      <c r="J1659" s="22"/>
      <c r="K1659" s="22"/>
      <c r="L1659" s="22"/>
      <c r="M1659" s="22"/>
    </row>
    <row r="1660">
      <c r="A1660" s="22"/>
      <c r="C1660" s="22">
        <v>2026</v>
      </c>
      <c r="D1660" s="22">
        <v>2027</v>
      </c>
      <c r="E1660" s="22">
        <v>2028</v>
      </c>
      <c r="F1660" s="22">
        <v>2029</v>
      </c>
      <c r="G1660" s="22">
        <v>2030</v>
      </c>
      <c r="H1660" s="22">
        <v>2031</v>
      </c>
      <c r="I1660" s="22">
        <v>2032</v>
      </c>
      <c r="J1660" s="22">
        <v>2033</v>
      </c>
      <c r="K1660" s="22">
        <v>2034</v>
      </c>
      <c r="L1660" s="22">
        <v>2035</v>
      </c>
      <c r="M1660" s="22">
        <v>2036</v>
      </c>
    </row>
    <row r="1661">
      <c r="A1661" s="3"/>
      <c r="B1661" s="3"/>
      <c r="C1661" s="74"/>
      <c r="D1661" s="74"/>
      <c r="E1661" s="74"/>
      <c r="F1661" s="74"/>
      <c r="G1661" s="74"/>
      <c r="H1661" s="74"/>
      <c r="I1661" s="74"/>
      <c r="J1661" s="74"/>
      <c r="K1661" s="74"/>
      <c r="L1661" s="74"/>
      <c r="M1661" s="74"/>
      <c r="N1661" s="78">
        <f>Sum(C1661:M1661)</f>
        <v>0</v>
      </c>
    </row>
    <row r="1664">
      <c r="A1664" s="22" t="s">
        <v>473</v>
      </c>
      <c r="C1664" s="22" t="s">
        <v>544</v>
      </c>
      <c r="D1664" s="22"/>
      <c r="E1664" s="22"/>
      <c r="F1664" s="22"/>
      <c r="G1664" s="22"/>
      <c r="H1664" s="22"/>
      <c r="I1664" s="22"/>
      <c r="J1664" s="22"/>
      <c r="K1664" s="22"/>
      <c r="L1664" s="22"/>
      <c r="M1664" s="22"/>
    </row>
    <row r="1665">
      <c r="A1665" s="22"/>
      <c r="C1665" s="22">
        <v>2026</v>
      </c>
      <c r="D1665" s="22">
        <v>2027</v>
      </c>
      <c r="E1665" s="22">
        <v>2028</v>
      </c>
      <c r="F1665" s="22">
        <v>2029</v>
      </c>
      <c r="G1665" s="22">
        <v>2030</v>
      </c>
      <c r="H1665" s="22">
        <v>2031</v>
      </c>
      <c r="I1665" s="22">
        <v>2032</v>
      </c>
      <c r="J1665" s="22">
        <v>2033</v>
      </c>
      <c r="K1665" s="22">
        <v>2034</v>
      </c>
      <c r="L1665" s="22">
        <v>2035</v>
      </c>
      <c r="M1665" s="22">
        <v>2036</v>
      </c>
    </row>
    <row r="1666">
      <c r="A1666" s="3" t="s">
        <v>545</v>
      </c>
      <c r="B1666" s="3"/>
      <c r="C1666" s="90">
        <v>0</v>
      </c>
      <c r="D1666" s="90">
        <v>0</v>
      </c>
      <c r="E1666" s="90">
        <v>0</v>
      </c>
      <c r="F1666" s="90">
        <v>0</v>
      </c>
      <c r="G1666" s="90">
        <v>0</v>
      </c>
      <c r="H1666" s="90">
        <v>0</v>
      </c>
      <c r="I1666" s="90">
        <v>0</v>
      </c>
      <c r="J1666" s="90">
        <v>0</v>
      </c>
      <c r="K1666" s="90">
        <v>0</v>
      </c>
      <c r="L1666" s="90">
        <v>0</v>
      </c>
      <c r="M1666" s="90">
        <v>0</v>
      </c>
    </row>
    <row r="1667">
      <c r="A1667" s="3" t="s">
        <v>546</v>
      </c>
      <c r="B1667" s="3"/>
      <c r="C1667" s="90">
        <v>0</v>
      </c>
      <c r="D1667" s="90">
        <v>0</v>
      </c>
      <c r="E1667" s="90">
        <v>0</v>
      </c>
      <c r="F1667" s="90">
        <v>0</v>
      </c>
      <c r="G1667" s="90">
        <v>0</v>
      </c>
      <c r="H1667" s="90">
        <v>0</v>
      </c>
      <c r="I1667" s="90">
        <v>0</v>
      </c>
      <c r="J1667" s="90">
        <v>0</v>
      </c>
      <c r="K1667" s="90">
        <v>0</v>
      </c>
      <c r="L1667" s="90">
        <v>0</v>
      </c>
      <c r="M1667" s="90">
        <v>0</v>
      </c>
    </row>
    <row r="1668">
      <c r="A1668" s="3" t="s">
        <v>547</v>
      </c>
      <c r="B1668" s="3"/>
      <c r="C1668" s="90">
        <v>0</v>
      </c>
      <c r="D1668" s="90">
        <v>0</v>
      </c>
      <c r="E1668" s="90">
        <v>0</v>
      </c>
      <c r="F1668" s="90">
        <v>0</v>
      </c>
      <c r="G1668" s="90">
        <v>0</v>
      </c>
      <c r="H1668" s="90">
        <v>0</v>
      </c>
      <c r="I1668" s="90">
        <v>0</v>
      </c>
      <c r="J1668" s="90">
        <v>0</v>
      </c>
      <c r="K1668" s="90">
        <v>0</v>
      </c>
      <c r="L1668" s="90">
        <v>0</v>
      </c>
      <c r="M1668" s="90">
        <v>0</v>
      </c>
    </row>
    <row r="1669">
      <c r="A1669" s="3" t="s">
        <v>548</v>
      </c>
      <c r="B1669" s="3"/>
      <c r="C1669" s="90">
        <v>0</v>
      </c>
      <c r="D1669" s="90">
        <v>0</v>
      </c>
      <c r="E1669" s="90">
        <v>0</v>
      </c>
      <c r="F1669" s="90">
        <v>0</v>
      </c>
      <c r="G1669" s="90">
        <v>0</v>
      </c>
      <c r="H1669" s="90">
        <v>0</v>
      </c>
      <c r="I1669" s="90">
        <v>0</v>
      </c>
      <c r="J1669" s="90">
        <v>0</v>
      </c>
      <c r="K1669" s="90">
        <v>0</v>
      </c>
      <c r="L1669" s="90">
        <v>0</v>
      </c>
      <c r="M1669" s="90">
        <v>0</v>
      </c>
    </row>
    <row r="1670">
      <c r="A1670" s="3" t="s">
        <v>549</v>
      </c>
      <c r="B1670" s="3"/>
      <c r="C1670" s="90">
        <v>0</v>
      </c>
      <c r="D1670" s="90">
        <v>0</v>
      </c>
      <c r="E1670" s="90">
        <v>0</v>
      </c>
      <c r="F1670" s="90">
        <v>0</v>
      </c>
      <c r="G1670" s="90">
        <v>0</v>
      </c>
      <c r="H1670" s="90">
        <v>0</v>
      </c>
      <c r="I1670" s="90">
        <v>0</v>
      </c>
      <c r="J1670" s="90">
        <v>0</v>
      </c>
      <c r="K1670" s="90">
        <v>0</v>
      </c>
      <c r="L1670" s="90">
        <v>0</v>
      </c>
      <c r="M1670" s="90">
        <v>0</v>
      </c>
    </row>
    <row r="1671">
      <c r="A1671" s="3" t="s">
        <v>550</v>
      </c>
      <c r="B1671" s="3"/>
      <c r="C1671" s="90">
        <v>0</v>
      </c>
      <c r="D1671" s="90">
        <v>0</v>
      </c>
      <c r="E1671" s="90">
        <v>0</v>
      </c>
      <c r="F1671" s="90">
        <v>0</v>
      </c>
      <c r="G1671" s="90">
        <v>0</v>
      </c>
      <c r="H1671" s="90">
        <v>0</v>
      </c>
      <c r="I1671" s="90">
        <v>0</v>
      </c>
      <c r="J1671" s="90">
        <v>0</v>
      </c>
      <c r="K1671" s="90">
        <v>0</v>
      </c>
      <c r="L1671" s="90">
        <v>0</v>
      </c>
      <c r="M1671" s="90">
        <v>0</v>
      </c>
    </row>
    <row r="1672">
      <c r="A1672" s="3" t="s">
        <v>551</v>
      </c>
      <c r="B1672" s="3"/>
      <c r="C1672" s="90">
        <v>0</v>
      </c>
      <c r="D1672" s="90">
        <v>0</v>
      </c>
      <c r="E1672" s="90"/>
      <c r="F1672" s="90">
        <v>0</v>
      </c>
      <c r="G1672" s="90"/>
      <c r="H1672" s="90">
        <v>0</v>
      </c>
      <c r="I1672" s="90"/>
      <c r="J1672" s="90"/>
      <c r="K1672" s="90"/>
      <c r="L1672" s="90"/>
      <c r="M1672" s="90">
        <v>0</v>
      </c>
    </row>
  </sheetData>
  <mergeCells>
    <mergeCell ref="A2:K2"/>
    <mergeCell ref="A16:A17"/>
    <mergeCell ref="C16:M16"/>
    <mergeCell ref="A29:A30"/>
    <mergeCell ref="C29:M29"/>
    <mergeCell ref="A34:A35"/>
    <mergeCell ref="C34:M34"/>
    <mergeCell ref="A5:A6"/>
    <mergeCell ref="C5:M5"/>
    <mergeCell ref="A44:K44"/>
    <mergeCell ref="A58:A59"/>
    <mergeCell ref="C58:M58"/>
    <mergeCell ref="A71:A72"/>
    <mergeCell ref="C71:M71"/>
    <mergeCell ref="A76:A77"/>
    <mergeCell ref="C76:M76"/>
    <mergeCell ref="A47:A48"/>
    <mergeCell ref="C47:M47"/>
    <mergeCell ref="A86:K86"/>
    <mergeCell ref="A100:A101"/>
    <mergeCell ref="C100:M100"/>
    <mergeCell ref="A113:A114"/>
    <mergeCell ref="C113:M113"/>
    <mergeCell ref="A118:A119"/>
    <mergeCell ref="C118:M118"/>
    <mergeCell ref="A89:A90"/>
    <mergeCell ref="C89:M89"/>
    <mergeCell ref="A128:K128"/>
    <mergeCell ref="A142:A143"/>
    <mergeCell ref="C142:M142"/>
    <mergeCell ref="A155:A156"/>
    <mergeCell ref="C155:M155"/>
    <mergeCell ref="A160:A161"/>
    <mergeCell ref="C160:M160"/>
    <mergeCell ref="A131:A132"/>
    <mergeCell ref="C131:M131"/>
    <mergeCell ref="A170:K170"/>
    <mergeCell ref="A184:A185"/>
    <mergeCell ref="C184:M184"/>
    <mergeCell ref="A197:A198"/>
    <mergeCell ref="C197:M197"/>
    <mergeCell ref="A202:A203"/>
    <mergeCell ref="C202:M202"/>
    <mergeCell ref="A173:A174"/>
    <mergeCell ref="C173:M173"/>
    <mergeCell ref="A212:K212"/>
    <mergeCell ref="A225:A226"/>
    <mergeCell ref="C225:M225"/>
    <mergeCell ref="A230:A231"/>
    <mergeCell ref="C230:M230"/>
    <mergeCell ref="A235:A236"/>
    <mergeCell ref="C235:M235"/>
    <mergeCell ref="A240:A241"/>
    <mergeCell ref="C240:M240"/>
    <mergeCell ref="A245:A246"/>
    <mergeCell ref="C245:M245"/>
    <mergeCell ref="A251:A252"/>
    <mergeCell ref="C251:M251"/>
    <mergeCell ref="A260:A261"/>
    <mergeCell ref="C260:M260"/>
    <mergeCell ref="A273:A274"/>
    <mergeCell ref="C273:M273"/>
    <mergeCell ref="A278:A279"/>
    <mergeCell ref="C278:M278"/>
    <mergeCell ref="A215:A216"/>
    <mergeCell ref="C215:M215"/>
    <mergeCell ref="A288:K288"/>
    <mergeCell ref="A302:A303"/>
    <mergeCell ref="C302:M302"/>
    <mergeCell ref="A315:A316"/>
    <mergeCell ref="C315:M315"/>
    <mergeCell ref="A320:A321"/>
    <mergeCell ref="C320:M320"/>
    <mergeCell ref="A291:A292"/>
    <mergeCell ref="C291:M291"/>
    <mergeCell ref="A330:K330"/>
    <mergeCell ref="A344:A345"/>
    <mergeCell ref="C344:M344"/>
    <mergeCell ref="A357:A358"/>
    <mergeCell ref="C357:M357"/>
    <mergeCell ref="A362:A363"/>
    <mergeCell ref="C362:M362"/>
    <mergeCell ref="A333:A334"/>
    <mergeCell ref="C333:M333"/>
    <mergeCell ref="A372:K372"/>
    <mergeCell ref="A386:A387"/>
    <mergeCell ref="C386:M386"/>
    <mergeCell ref="A399:A400"/>
    <mergeCell ref="C399:M399"/>
    <mergeCell ref="A404:A405"/>
    <mergeCell ref="C404:M404"/>
    <mergeCell ref="A375:A376"/>
    <mergeCell ref="C375:M375"/>
    <mergeCell ref="A414:K414"/>
    <mergeCell ref="A428:A429"/>
    <mergeCell ref="C428:M428"/>
    <mergeCell ref="A441:A442"/>
    <mergeCell ref="C441:M441"/>
    <mergeCell ref="A446:A447"/>
    <mergeCell ref="C446:M446"/>
    <mergeCell ref="A417:A418"/>
    <mergeCell ref="C417:M417"/>
    <mergeCell ref="A456:K456"/>
    <mergeCell ref="A470:A471"/>
    <mergeCell ref="C470:M470"/>
    <mergeCell ref="A483:A484"/>
    <mergeCell ref="C483:M483"/>
    <mergeCell ref="A488:A489"/>
    <mergeCell ref="C488:M488"/>
    <mergeCell ref="A459:A460"/>
    <mergeCell ref="C459:M459"/>
    <mergeCell ref="A498:K498"/>
    <mergeCell ref="A512:A513"/>
    <mergeCell ref="C512:M512"/>
    <mergeCell ref="A525:A526"/>
    <mergeCell ref="C525:M525"/>
    <mergeCell ref="A530:A531"/>
    <mergeCell ref="C530:M530"/>
    <mergeCell ref="A501:A502"/>
    <mergeCell ref="C501:M501"/>
    <mergeCell ref="A540:K540"/>
    <mergeCell ref="A554:A555"/>
    <mergeCell ref="C554:M554"/>
    <mergeCell ref="A567:A568"/>
    <mergeCell ref="C567:M567"/>
    <mergeCell ref="A572:A573"/>
    <mergeCell ref="C572:M572"/>
    <mergeCell ref="A543:A544"/>
    <mergeCell ref="C543:M543"/>
    <mergeCell ref="A582:K582"/>
    <mergeCell ref="A596:A597"/>
    <mergeCell ref="C596:M596"/>
    <mergeCell ref="A609:A610"/>
    <mergeCell ref="C609:M609"/>
    <mergeCell ref="A614:A615"/>
    <mergeCell ref="C614:M614"/>
    <mergeCell ref="A585:A586"/>
    <mergeCell ref="C585:M585"/>
    <mergeCell ref="A624:K624"/>
    <mergeCell ref="A638:A639"/>
    <mergeCell ref="C638:M638"/>
    <mergeCell ref="A651:A652"/>
    <mergeCell ref="C651:M651"/>
    <mergeCell ref="A656:A657"/>
    <mergeCell ref="C656:M656"/>
    <mergeCell ref="A627:A628"/>
    <mergeCell ref="C627:M627"/>
    <mergeCell ref="A666:K666"/>
    <mergeCell ref="A680:A681"/>
    <mergeCell ref="C680:M680"/>
    <mergeCell ref="A693:A694"/>
    <mergeCell ref="C693:M693"/>
    <mergeCell ref="A698:A699"/>
    <mergeCell ref="C698:M698"/>
    <mergeCell ref="A669:A670"/>
    <mergeCell ref="C669:M669"/>
    <mergeCell ref="A708:K708"/>
    <mergeCell ref="A722:A723"/>
    <mergeCell ref="C722:M722"/>
    <mergeCell ref="A735:A736"/>
    <mergeCell ref="C735:M735"/>
    <mergeCell ref="A740:A741"/>
    <mergeCell ref="C740:M740"/>
    <mergeCell ref="A711:A712"/>
    <mergeCell ref="C711:M711"/>
    <mergeCell ref="A750:K750"/>
    <mergeCell ref="A764:A765"/>
    <mergeCell ref="C764:M764"/>
    <mergeCell ref="A777:A778"/>
    <mergeCell ref="C777:M777"/>
    <mergeCell ref="A782:A783"/>
    <mergeCell ref="C782:M782"/>
    <mergeCell ref="A753:A754"/>
    <mergeCell ref="C753:M753"/>
    <mergeCell ref="A792:K792"/>
    <mergeCell ref="A806:A807"/>
    <mergeCell ref="C806:M806"/>
    <mergeCell ref="A819:A820"/>
    <mergeCell ref="C819:M819"/>
    <mergeCell ref="A824:A825"/>
    <mergeCell ref="C824:M824"/>
    <mergeCell ref="A795:A796"/>
    <mergeCell ref="C795:M795"/>
    <mergeCell ref="A834:K834"/>
    <mergeCell ref="A848:A849"/>
    <mergeCell ref="C848:M848"/>
    <mergeCell ref="A861:A862"/>
    <mergeCell ref="C861:M861"/>
    <mergeCell ref="A866:A867"/>
    <mergeCell ref="C866:M866"/>
    <mergeCell ref="A837:A838"/>
    <mergeCell ref="C837:M837"/>
    <mergeCell ref="A876:K876"/>
    <mergeCell ref="A890:A891"/>
    <mergeCell ref="C890:M890"/>
    <mergeCell ref="A903:A904"/>
    <mergeCell ref="C903:M903"/>
    <mergeCell ref="A908:A909"/>
    <mergeCell ref="C908:M908"/>
    <mergeCell ref="A879:A880"/>
    <mergeCell ref="C879:M879"/>
    <mergeCell ref="A918:K918"/>
    <mergeCell ref="A932:A933"/>
    <mergeCell ref="C932:M932"/>
    <mergeCell ref="A945:A946"/>
    <mergeCell ref="C945:M945"/>
    <mergeCell ref="A950:A951"/>
    <mergeCell ref="C950:M950"/>
    <mergeCell ref="A921:A922"/>
    <mergeCell ref="C921:M921"/>
    <mergeCell ref="A960:K960"/>
    <mergeCell ref="A974:A975"/>
    <mergeCell ref="C974:M974"/>
    <mergeCell ref="A987:A988"/>
    <mergeCell ref="C987:M987"/>
    <mergeCell ref="A992:A993"/>
    <mergeCell ref="C992:M992"/>
    <mergeCell ref="A963:A964"/>
    <mergeCell ref="C963:M963"/>
    <mergeCell ref="A1002:K1002"/>
    <mergeCell ref="A1016:A1017"/>
    <mergeCell ref="C1016:M1016"/>
    <mergeCell ref="A1029:A1030"/>
    <mergeCell ref="C1029:M1029"/>
    <mergeCell ref="A1034:A1035"/>
    <mergeCell ref="C1034:M1034"/>
    <mergeCell ref="A1005:A1006"/>
    <mergeCell ref="C1005:M1005"/>
    <mergeCell ref="A1044:K1044"/>
    <mergeCell ref="A1058:A1059"/>
    <mergeCell ref="C1058:M1058"/>
    <mergeCell ref="A1071:A1072"/>
    <mergeCell ref="C1071:M1071"/>
    <mergeCell ref="A1076:A1077"/>
    <mergeCell ref="C1076:M1076"/>
    <mergeCell ref="A1047:A1048"/>
    <mergeCell ref="C1047:M1047"/>
    <mergeCell ref="A1086:K1086"/>
    <mergeCell ref="A1100:A1101"/>
    <mergeCell ref="C1100:M1100"/>
    <mergeCell ref="A1113:A1114"/>
    <mergeCell ref="C1113:M1113"/>
    <mergeCell ref="A1118:A1119"/>
    <mergeCell ref="C1118:M1118"/>
    <mergeCell ref="A1089:A1090"/>
    <mergeCell ref="C1089:M1089"/>
    <mergeCell ref="A1128:K1128"/>
    <mergeCell ref="A1142:A1143"/>
    <mergeCell ref="C1142:M1142"/>
    <mergeCell ref="A1155:A1156"/>
    <mergeCell ref="C1155:M1155"/>
    <mergeCell ref="A1160:A1161"/>
    <mergeCell ref="C1160:M1160"/>
    <mergeCell ref="A1131:A1132"/>
    <mergeCell ref="C1131:M1131"/>
    <mergeCell ref="A1170:K1170"/>
    <mergeCell ref="A1184:A1185"/>
    <mergeCell ref="C1184:M1184"/>
    <mergeCell ref="A1197:A1198"/>
    <mergeCell ref="C1197:M1197"/>
    <mergeCell ref="A1202:A1203"/>
    <mergeCell ref="C1202:M1202"/>
    <mergeCell ref="A1173:A1174"/>
    <mergeCell ref="C1173:M1173"/>
    <mergeCell ref="A1212:K1212"/>
    <mergeCell ref="A1226:A1227"/>
    <mergeCell ref="C1226:M1226"/>
    <mergeCell ref="A1239:A1240"/>
    <mergeCell ref="C1239:M1239"/>
    <mergeCell ref="A1244:A1245"/>
    <mergeCell ref="C1244:M1244"/>
    <mergeCell ref="A1215:A1216"/>
    <mergeCell ref="C1215:M1215"/>
    <mergeCell ref="A1254:K1254"/>
    <mergeCell ref="A1268:A1269"/>
    <mergeCell ref="C1268:M1268"/>
    <mergeCell ref="A1281:A1282"/>
    <mergeCell ref="C1281:M1281"/>
    <mergeCell ref="A1286:A1287"/>
    <mergeCell ref="C1286:M1286"/>
    <mergeCell ref="A1257:A1258"/>
    <mergeCell ref="C1257:M1257"/>
    <mergeCell ref="A1296:K1296"/>
    <mergeCell ref="A1310:A1311"/>
    <mergeCell ref="C1310:M1310"/>
    <mergeCell ref="A1323:A1324"/>
    <mergeCell ref="C1323:M1323"/>
    <mergeCell ref="A1328:A1329"/>
    <mergeCell ref="C1328:M1328"/>
    <mergeCell ref="A1299:A1300"/>
    <mergeCell ref="C1299:M1299"/>
    <mergeCell ref="A1338:K1338"/>
    <mergeCell ref="A1352:A1353"/>
    <mergeCell ref="C1352:M1352"/>
    <mergeCell ref="A1365:A1366"/>
    <mergeCell ref="C1365:M1365"/>
    <mergeCell ref="A1370:A1371"/>
    <mergeCell ref="C1370:M1370"/>
    <mergeCell ref="A1341:A1342"/>
    <mergeCell ref="C1341:M1341"/>
    <mergeCell ref="A1380:K1380"/>
    <mergeCell ref="A1394:A1395"/>
    <mergeCell ref="C1394:M1394"/>
    <mergeCell ref="A1407:A1408"/>
    <mergeCell ref="C1407:M1407"/>
    <mergeCell ref="A1412:A1413"/>
    <mergeCell ref="C1412:M1412"/>
    <mergeCell ref="A1383:A1384"/>
    <mergeCell ref="C1383:M1383"/>
    <mergeCell ref="A1422:K1422"/>
    <mergeCell ref="A1436:A1437"/>
    <mergeCell ref="C1436:M1436"/>
    <mergeCell ref="A1449:A1450"/>
    <mergeCell ref="C1449:M1449"/>
    <mergeCell ref="A1454:A1455"/>
    <mergeCell ref="C1454:M1454"/>
    <mergeCell ref="A1425:A1426"/>
    <mergeCell ref="C1425:M1425"/>
    <mergeCell ref="A1464:K1464"/>
    <mergeCell ref="A1478:A1479"/>
    <mergeCell ref="C1478:M1478"/>
    <mergeCell ref="A1491:A1492"/>
    <mergeCell ref="C1491:M1491"/>
    <mergeCell ref="A1496:A1497"/>
    <mergeCell ref="C1496:M1496"/>
    <mergeCell ref="A1467:A1468"/>
    <mergeCell ref="C1467:M1467"/>
    <mergeCell ref="A1506:K1506"/>
    <mergeCell ref="A1520:A1521"/>
    <mergeCell ref="C1520:M1520"/>
    <mergeCell ref="A1533:A1534"/>
    <mergeCell ref="C1533:M1533"/>
    <mergeCell ref="A1538:A1539"/>
    <mergeCell ref="C1538:M1538"/>
    <mergeCell ref="A1509:A1510"/>
    <mergeCell ref="C1509:M1509"/>
    <mergeCell ref="A1548:K1548"/>
    <mergeCell ref="A1562:A1563"/>
    <mergeCell ref="C1562:M1562"/>
    <mergeCell ref="A1575:A1576"/>
    <mergeCell ref="C1575:M1575"/>
    <mergeCell ref="A1580:A1581"/>
    <mergeCell ref="C1580:M1580"/>
    <mergeCell ref="A1551:A1552"/>
    <mergeCell ref="C1551:M1551"/>
    <mergeCell ref="A1590:K1590"/>
    <mergeCell ref="A1604:A1605"/>
    <mergeCell ref="C1604:M1604"/>
    <mergeCell ref="A1617:A1618"/>
    <mergeCell ref="C1617:M1617"/>
    <mergeCell ref="A1622:A1623"/>
    <mergeCell ref="C1622:M1622"/>
    <mergeCell ref="A1593:A1594"/>
    <mergeCell ref="C1593:M1593"/>
    <mergeCell ref="A1632:K1632"/>
    <mergeCell ref="A1646:A1647"/>
    <mergeCell ref="C1646:M1646"/>
    <mergeCell ref="A1659:A1660"/>
    <mergeCell ref="C1659:M1659"/>
    <mergeCell ref="A1664:A1665"/>
    <mergeCell ref="C1664:M1664"/>
    <mergeCell ref="A1635:A1636"/>
    <mergeCell ref="C1635:M1635"/>
  </mergeCells>
  <headerFooter/>
</worksheet>
</file>

<file path=xl/worksheets/sheet9.xml><?xml version="1.0" encoding="utf-8"?>
<worksheet xmlns:r="http://schemas.openxmlformats.org/officeDocument/2006/relationships" xmlns="http://schemas.openxmlformats.org/spreadsheetml/2006/main">
  <dimension ref="A1:M50"/>
  <sheetViews>
    <sheetView workbookViewId="0"/>
  </sheetViews>
  <sheetFormatPr defaultRowHeight="15"/>
  <cols>
    <col min="1" max="1" width="9.140625" customWidth="1"/>
    <col min="2" max="2" width="15.2987642288208" customWidth="1"/>
    <col min="3" max="3" width="13.653674125671387" customWidth="1"/>
    <col min="4" max="4" width="12.560017585754395" customWidth="1"/>
    <col min="5" max="5" width="9.140625" customWidth="1"/>
    <col min="6" max="6" width="12.560017585754395" customWidth="1"/>
    <col min="7" max="7" width="9.140625" customWidth="1"/>
    <col min="8" max="8" width="12.560017585754395" customWidth="1"/>
    <col min="9" max="9" width="9.140625" customWidth="1"/>
    <col min="10" max="10" width="9.140625" customWidth="1"/>
    <col min="11" max="11" width="9.140625" customWidth="1"/>
    <col min="12" max="12" width="9.140625" customWidth="1"/>
    <col min="13" max="13" width="15.560017585754395" customWidth="1"/>
  </cols>
  <sheetData>
    <row r="1">
      <c r="A1" s="92" t="s">
        <v>603</v>
      </c>
      <c r="B1" s="92" t="s">
        <v>603</v>
      </c>
      <c r="C1" s="92" t="s">
        <v>603</v>
      </c>
      <c r="D1" s="92" t="s">
        <v>603</v>
      </c>
      <c r="E1" s="92" t="s">
        <v>603</v>
      </c>
      <c r="F1" s="92" t="s">
        <v>603</v>
      </c>
      <c r="G1" s="92" t="s">
        <v>603</v>
      </c>
      <c r="H1" s="92" t="s">
        <v>603</v>
      </c>
      <c r="I1" s="92" t="s">
        <v>603</v>
      </c>
      <c r="J1" s="92" t="s">
        <v>603</v>
      </c>
      <c r="K1" s="92" t="s">
        <v>603</v>
      </c>
      <c r="L1" s="92" t="s">
        <v>603</v>
      </c>
      <c r="M1" s="92" t="s">
        <v>603</v>
      </c>
    </row>
    <row r="2">
      <c r="A2" s="93" t="s">
        <v>461</v>
      </c>
      <c r="B2" s="93" t="s">
        <v>462</v>
      </c>
      <c r="C2" s="94">
        <v>2026</v>
      </c>
      <c r="D2" s="94">
        <v>2027</v>
      </c>
      <c r="E2" s="94">
        <v>2028</v>
      </c>
      <c r="F2" s="94">
        <v>2029</v>
      </c>
      <c r="G2" s="94">
        <v>2030</v>
      </c>
      <c r="H2" s="94">
        <v>2031</v>
      </c>
      <c r="I2" s="94">
        <v>2032</v>
      </c>
      <c r="J2" s="94">
        <v>2033</v>
      </c>
      <c r="K2" s="94">
        <v>2034</v>
      </c>
      <c r="L2" s="94">
        <v>2035</v>
      </c>
      <c r="M2" s="94">
        <v>2036</v>
      </c>
    </row>
    <row r="3">
      <c r="A3" s="92" t="s">
        <v>604</v>
      </c>
      <c r="B3" s="92" t="s">
        <v>604</v>
      </c>
      <c r="C3" s="92" t="s">
        <v>604</v>
      </c>
      <c r="D3" s="92" t="s">
        <v>604</v>
      </c>
      <c r="E3" s="92" t="s">
        <v>604</v>
      </c>
      <c r="F3" s="92" t="s">
        <v>604</v>
      </c>
      <c r="G3" s="92" t="s">
        <v>604</v>
      </c>
      <c r="H3" s="92" t="s">
        <v>604</v>
      </c>
      <c r="I3" s="92" t="s">
        <v>604</v>
      </c>
      <c r="J3" s="92" t="s">
        <v>604</v>
      </c>
      <c r="K3" s="92" t="s">
        <v>604</v>
      </c>
      <c r="L3" s="92" t="s">
        <v>604</v>
      </c>
      <c r="M3" s="92" t="s">
        <v>604</v>
      </c>
    </row>
    <row r="4">
      <c r="A4" s="7">
        <v>4</v>
      </c>
      <c r="B4" s="95" t="s">
        <v>605</v>
      </c>
      <c r="C4" s="96">
        <v>0</v>
      </c>
      <c r="D4" s="96">
        <v>0</v>
      </c>
      <c r="E4" s="96">
        <v>0</v>
      </c>
      <c r="F4" s="96">
        <v>0</v>
      </c>
      <c r="G4" s="96">
        <v>0</v>
      </c>
      <c r="H4" s="96">
        <v>0</v>
      </c>
      <c r="I4" s="96">
        <v>0</v>
      </c>
      <c r="J4" s="96">
        <v>0</v>
      </c>
      <c r="K4" s="96">
        <v>0</v>
      </c>
      <c r="L4" s="96">
        <v>0</v>
      </c>
      <c r="M4" s="96">
        <v>0</v>
      </c>
    </row>
    <row r="5">
      <c r="A5" s="7">
        <v>4</v>
      </c>
      <c r="B5" s="95" t="s">
        <v>606</v>
      </c>
      <c r="C5" s="96">
        <v>0</v>
      </c>
      <c r="D5" s="96">
        <v>0</v>
      </c>
      <c r="E5" s="96">
        <v>0</v>
      </c>
      <c r="F5" s="96">
        <v>0</v>
      </c>
      <c r="G5" s="96">
        <v>0</v>
      </c>
      <c r="H5" s="96">
        <v>0</v>
      </c>
      <c r="I5" s="96">
        <v>0</v>
      </c>
      <c r="J5" s="96">
        <v>0</v>
      </c>
      <c r="K5" s="96">
        <v>0</v>
      </c>
      <c r="L5" s="96">
        <v>0</v>
      </c>
      <c r="M5" s="96">
        <v>0</v>
      </c>
    </row>
    <row r="6">
      <c r="A6" s="7">
        <v>4</v>
      </c>
      <c r="B6" s="95" t="s">
        <v>607</v>
      </c>
      <c r="C6" s="96">
        <v>0</v>
      </c>
      <c r="D6" s="96">
        <v>0</v>
      </c>
      <c r="E6" s="96">
        <v>0</v>
      </c>
      <c r="F6" s="96">
        <v>0</v>
      </c>
      <c r="G6" s="96">
        <v>0</v>
      </c>
      <c r="H6" s="96">
        <v>0</v>
      </c>
      <c r="I6" s="96">
        <v>0</v>
      </c>
      <c r="J6" s="96">
        <v>0</v>
      </c>
      <c r="K6" s="96">
        <v>0</v>
      </c>
      <c r="L6" s="96">
        <v>0</v>
      </c>
      <c r="M6" s="96">
        <v>0</v>
      </c>
    </row>
    <row r="7">
      <c r="A7" s="7">
        <v>4</v>
      </c>
      <c r="B7" s="95" t="s">
        <v>608</v>
      </c>
      <c r="C7" s="96">
        <v>0</v>
      </c>
      <c r="D7" s="96">
        <v>0</v>
      </c>
      <c r="E7" s="96">
        <v>0</v>
      </c>
      <c r="F7" s="96">
        <v>0</v>
      </c>
      <c r="G7" s="96">
        <v>0</v>
      </c>
      <c r="H7" s="96">
        <v>0</v>
      </c>
      <c r="I7" s="96">
        <v>0</v>
      </c>
      <c r="J7" s="96">
        <v>0</v>
      </c>
      <c r="K7" s="96">
        <v>0</v>
      </c>
      <c r="L7" s="96">
        <v>0</v>
      </c>
      <c r="M7" s="96">
        <v>0</v>
      </c>
    </row>
    <row r="8">
      <c r="A8" s="7">
        <v>4</v>
      </c>
      <c r="B8" s="95" t="s">
        <v>609</v>
      </c>
      <c r="C8" s="96">
        <v>0</v>
      </c>
      <c r="D8" s="96">
        <v>0</v>
      </c>
      <c r="E8" s="96">
        <v>0</v>
      </c>
      <c r="F8" s="96">
        <v>0</v>
      </c>
      <c r="G8" s="96">
        <v>0</v>
      </c>
      <c r="H8" s="96">
        <v>0</v>
      </c>
      <c r="I8" s="96">
        <v>0</v>
      </c>
      <c r="J8" s="96">
        <v>0</v>
      </c>
      <c r="K8" s="96">
        <v>0</v>
      </c>
      <c r="L8" s="96">
        <v>0</v>
      </c>
      <c r="M8" s="96">
        <v>0</v>
      </c>
    </row>
    <row r="9">
      <c r="A9" s="7">
        <v>4</v>
      </c>
      <c r="B9" s="95" t="s">
        <v>610</v>
      </c>
      <c r="C9" s="96">
        <v>0</v>
      </c>
      <c r="D9" s="96">
        <v>0</v>
      </c>
      <c r="E9" s="96">
        <v>0</v>
      </c>
      <c r="F9" s="96">
        <v>0</v>
      </c>
      <c r="G9" s="96">
        <v>0</v>
      </c>
      <c r="H9" s="96">
        <v>0</v>
      </c>
      <c r="I9" s="96">
        <v>0</v>
      </c>
      <c r="J9" s="96">
        <v>0</v>
      </c>
      <c r="K9" s="96">
        <v>0</v>
      </c>
      <c r="L9" s="96">
        <v>0</v>
      </c>
      <c r="M9" s="96">
        <v>0</v>
      </c>
    </row>
    <row r="10">
      <c r="A10" s="97" t="s">
        <v>611</v>
      </c>
      <c r="B10" s="97" t="s">
        <v>611</v>
      </c>
      <c r="C10" s="98">
        <v>0</v>
      </c>
      <c r="D10" s="98">
        <v>0</v>
      </c>
      <c r="E10" s="98">
        <v>0</v>
      </c>
      <c r="F10" s="98">
        <v>0</v>
      </c>
      <c r="G10" s="98">
        <v>0</v>
      </c>
      <c r="H10" s="98">
        <v>0</v>
      </c>
      <c r="I10" s="98">
        <v>0</v>
      </c>
      <c r="J10" s="98">
        <v>0</v>
      </c>
      <c r="K10" s="98">
        <v>0</v>
      </c>
      <c r="L10" s="98">
        <v>0</v>
      </c>
      <c r="M10" s="98">
        <v>0</v>
      </c>
    </row>
    <row r="11">
      <c r="A11" s="97" t="s">
        <v>612</v>
      </c>
      <c r="B11" s="97" t="s">
        <v>612</v>
      </c>
      <c r="C11" s="96">
        <v>0</v>
      </c>
      <c r="D11" s="96">
        <v>0</v>
      </c>
      <c r="E11" s="96">
        <v>0</v>
      </c>
      <c r="F11" s="96">
        <v>0</v>
      </c>
      <c r="G11" s="96">
        <v>0</v>
      </c>
      <c r="H11" s="96">
        <v>0</v>
      </c>
      <c r="I11" s="96">
        <v>0</v>
      </c>
      <c r="J11" s="96">
        <v>0</v>
      </c>
      <c r="K11" s="96">
        <v>0</v>
      </c>
      <c r="L11" s="96">
        <v>0</v>
      </c>
      <c r="M11" s="96">
        <v>0</v>
      </c>
    </row>
    <row r="12">
      <c r="A12" s="97" t="s">
        <v>613</v>
      </c>
      <c r="B12" s="97" t="s">
        <v>613</v>
      </c>
      <c r="C12" s="98">
        <v>0</v>
      </c>
      <c r="D12" s="98">
        <v>0</v>
      </c>
      <c r="E12" s="98">
        <v>0</v>
      </c>
      <c r="F12" s="98">
        <v>0</v>
      </c>
      <c r="G12" s="98">
        <v>0</v>
      </c>
      <c r="H12" s="98">
        <v>0</v>
      </c>
      <c r="I12" s="98">
        <v>0</v>
      </c>
      <c r="J12" s="98">
        <v>0</v>
      </c>
      <c r="K12" s="98">
        <v>0</v>
      </c>
      <c r="L12" s="98">
        <v>0</v>
      </c>
      <c r="M12" s="98">
        <v>0</v>
      </c>
    </row>
    <row r="14">
      <c r="A14" s="92" t="s">
        <v>614</v>
      </c>
      <c r="B14" s="92" t="s">
        <v>614</v>
      </c>
      <c r="C14" s="92" t="s">
        <v>614</v>
      </c>
      <c r="D14" s="92" t="s">
        <v>614</v>
      </c>
      <c r="E14" s="92" t="s">
        <v>614</v>
      </c>
      <c r="F14" s="92" t="s">
        <v>614</v>
      </c>
      <c r="G14" s="92" t="s">
        <v>614</v>
      </c>
      <c r="H14" s="92" t="s">
        <v>614</v>
      </c>
      <c r="I14" s="92" t="s">
        <v>614</v>
      </c>
      <c r="J14" s="92" t="s">
        <v>614</v>
      </c>
      <c r="K14" s="92" t="s">
        <v>614</v>
      </c>
      <c r="L14" s="92" t="s">
        <v>614</v>
      </c>
      <c r="M14" s="92" t="s">
        <v>614</v>
      </c>
    </row>
    <row r="15">
      <c r="A15" s="93" t="s">
        <v>461</v>
      </c>
      <c r="B15" s="93" t="s">
        <v>462</v>
      </c>
      <c r="C15" s="94">
        <v>2026</v>
      </c>
      <c r="D15" s="94">
        <v>2027</v>
      </c>
      <c r="E15" s="94">
        <v>2028</v>
      </c>
      <c r="F15" s="94">
        <v>2029</v>
      </c>
      <c r="G15" s="94">
        <v>2030</v>
      </c>
      <c r="H15" s="94">
        <v>2031</v>
      </c>
      <c r="I15" s="94">
        <v>2032</v>
      </c>
      <c r="J15" s="94">
        <v>2033</v>
      </c>
      <c r="K15" s="94">
        <v>2034</v>
      </c>
      <c r="L15" s="94">
        <v>2035</v>
      </c>
      <c r="M15" s="94">
        <v>2036</v>
      </c>
    </row>
    <row r="16">
      <c r="A16" s="92" t="s">
        <v>604</v>
      </c>
      <c r="B16" s="92" t="s">
        <v>604</v>
      </c>
      <c r="C16" s="92" t="s">
        <v>604</v>
      </c>
      <c r="D16" s="92" t="s">
        <v>604</v>
      </c>
      <c r="E16" s="92" t="s">
        <v>604</v>
      </c>
      <c r="F16" s="92" t="s">
        <v>604</v>
      </c>
      <c r="G16" s="92" t="s">
        <v>604</v>
      </c>
      <c r="H16" s="92" t="s">
        <v>604</v>
      </c>
      <c r="I16" s="92" t="s">
        <v>604</v>
      </c>
      <c r="J16" s="92" t="s">
        <v>604</v>
      </c>
      <c r="K16" s="92" t="s">
        <v>604</v>
      </c>
      <c r="L16" s="92" t="s">
        <v>604</v>
      </c>
      <c r="M16" s="92" t="s">
        <v>604</v>
      </c>
    </row>
    <row r="17">
      <c r="A17" s="7">
        <v>4</v>
      </c>
      <c r="B17" s="95" t="s">
        <v>605</v>
      </c>
      <c r="C17" s="96">
        <v>0</v>
      </c>
      <c r="D17" s="96">
        <v>0</v>
      </c>
      <c r="E17" s="96">
        <v>0</v>
      </c>
      <c r="F17" s="96">
        <v>0</v>
      </c>
      <c r="G17" s="96">
        <v>0</v>
      </c>
      <c r="H17" s="96">
        <v>0</v>
      </c>
      <c r="I17" s="96">
        <v>0</v>
      </c>
      <c r="J17" s="96">
        <v>0</v>
      </c>
      <c r="K17" s="96">
        <v>0</v>
      </c>
      <c r="L17" s="96">
        <v>0</v>
      </c>
      <c r="M17" s="96">
        <v>0</v>
      </c>
    </row>
    <row r="18">
      <c r="A18" s="7">
        <v>4</v>
      </c>
      <c r="B18" s="95" t="s">
        <v>606</v>
      </c>
      <c r="C18" s="96">
        <v>0</v>
      </c>
      <c r="D18" s="96">
        <v>0</v>
      </c>
      <c r="E18" s="96">
        <v>0</v>
      </c>
      <c r="F18" s="96">
        <v>0</v>
      </c>
      <c r="G18" s="96">
        <v>0</v>
      </c>
      <c r="H18" s="96">
        <v>0</v>
      </c>
      <c r="I18" s="96">
        <v>0</v>
      </c>
      <c r="J18" s="96">
        <v>0</v>
      </c>
      <c r="K18" s="96">
        <v>0</v>
      </c>
      <c r="L18" s="96">
        <v>0</v>
      </c>
      <c r="M18" s="96">
        <v>0</v>
      </c>
    </row>
    <row r="19">
      <c r="A19" s="7">
        <v>4</v>
      </c>
      <c r="B19" s="95" t="s">
        <v>607</v>
      </c>
      <c r="C19" s="96">
        <v>11867274</v>
      </c>
      <c r="D19" s="96">
        <v>5101744.5</v>
      </c>
      <c r="E19" s="96">
        <v>0</v>
      </c>
      <c r="F19" s="96">
        <v>1078914.93</v>
      </c>
      <c r="G19" s="96">
        <v>0</v>
      </c>
      <c r="H19" s="96">
        <v>1043346.67</v>
      </c>
      <c r="I19" s="96">
        <v>0</v>
      </c>
      <c r="J19" s="96">
        <v>0</v>
      </c>
      <c r="K19" s="96">
        <v>0</v>
      </c>
      <c r="L19" s="96">
        <v>0</v>
      </c>
      <c r="M19" s="96">
        <v>1237494.33</v>
      </c>
    </row>
    <row r="20">
      <c r="A20" s="7">
        <v>4</v>
      </c>
      <c r="B20" s="95" t="s">
        <v>608</v>
      </c>
      <c r="C20" s="96">
        <v>0</v>
      </c>
      <c r="D20" s="96">
        <v>0</v>
      </c>
      <c r="E20" s="96">
        <v>0</v>
      </c>
      <c r="F20" s="96">
        <v>0</v>
      </c>
      <c r="G20" s="96">
        <v>0</v>
      </c>
      <c r="H20" s="96">
        <v>0</v>
      </c>
      <c r="I20" s="96">
        <v>0</v>
      </c>
      <c r="J20" s="96">
        <v>0</v>
      </c>
      <c r="K20" s="96">
        <v>0</v>
      </c>
      <c r="L20" s="96">
        <v>0</v>
      </c>
      <c r="M20" s="96">
        <v>0</v>
      </c>
    </row>
    <row r="21">
      <c r="A21" s="7">
        <v>4</v>
      </c>
      <c r="B21" s="95" t="s">
        <v>609</v>
      </c>
      <c r="C21" s="96">
        <v>0</v>
      </c>
      <c r="D21" s="96">
        <v>0</v>
      </c>
      <c r="E21" s="96">
        <v>0</v>
      </c>
      <c r="F21" s="96">
        <v>0</v>
      </c>
      <c r="G21" s="96">
        <v>0</v>
      </c>
      <c r="H21" s="96">
        <v>0</v>
      </c>
      <c r="I21" s="96">
        <v>0</v>
      </c>
      <c r="J21" s="96">
        <v>0</v>
      </c>
      <c r="K21" s="96">
        <v>0</v>
      </c>
      <c r="L21" s="96">
        <v>0</v>
      </c>
      <c r="M21" s="96">
        <v>0</v>
      </c>
    </row>
    <row r="22">
      <c r="A22" s="7">
        <v>4</v>
      </c>
      <c r="B22" s="95" t="s">
        <v>610</v>
      </c>
      <c r="C22" s="96">
        <v>0</v>
      </c>
      <c r="D22" s="96">
        <v>0</v>
      </c>
      <c r="E22" s="96">
        <v>0</v>
      </c>
      <c r="F22" s="96">
        <v>0</v>
      </c>
      <c r="G22" s="96">
        <v>0</v>
      </c>
      <c r="H22" s="96">
        <v>0</v>
      </c>
      <c r="I22" s="96">
        <v>0</v>
      </c>
      <c r="J22" s="96">
        <v>0</v>
      </c>
      <c r="K22" s="96">
        <v>0</v>
      </c>
      <c r="L22" s="96">
        <v>0</v>
      </c>
      <c r="M22" s="96">
        <v>0</v>
      </c>
    </row>
    <row r="23">
      <c r="A23" s="97" t="s">
        <v>611</v>
      </c>
      <c r="B23" s="97" t="s">
        <v>611</v>
      </c>
      <c r="C23" s="98">
        <v>11867274</v>
      </c>
      <c r="D23" s="98">
        <v>5101744.5</v>
      </c>
      <c r="E23" s="98">
        <v>0</v>
      </c>
      <c r="F23" s="98">
        <v>1078914.93</v>
      </c>
      <c r="G23" s="98">
        <v>0</v>
      </c>
      <c r="H23" s="98">
        <v>1043346.67</v>
      </c>
      <c r="I23" s="98">
        <v>0</v>
      </c>
      <c r="J23" s="98">
        <v>0</v>
      </c>
      <c r="K23" s="98">
        <v>0</v>
      </c>
      <c r="L23" s="98">
        <v>0</v>
      </c>
      <c r="M23" s="98">
        <v>1237494.33</v>
      </c>
    </row>
    <row r="24">
      <c r="A24" s="97" t="s">
        <v>612</v>
      </c>
      <c r="B24" s="97" t="s">
        <v>612</v>
      </c>
      <c r="C24" s="96">
        <v>0</v>
      </c>
      <c r="D24" s="96">
        <v>0</v>
      </c>
      <c r="E24" s="96">
        <v>0</v>
      </c>
      <c r="F24" s="96">
        <v>0</v>
      </c>
      <c r="G24" s="96">
        <v>0</v>
      </c>
      <c r="H24" s="96">
        <v>0</v>
      </c>
      <c r="I24" s="96">
        <v>0</v>
      </c>
      <c r="J24" s="96">
        <v>0</v>
      </c>
      <c r="K24" s="96">
        <v>0</v>
      </c>
      <c r="L24" s="96">
        <v>0</v>
      </c>
      <c r="M24" s="96">
        <v>0</v>
      </c>
    </row>
    <row r="25">
      <c r="A25" s="97" t="s">
        <v>613</v>
      </c>
      <c r="B25" s="97" t="s">
        <v>613</v>
      </c>
      <c r="C25" s="98">
        <v>11867274</v>
      </c>
      <c r="D25" s="98">
        <v>5101744.5</v>
      </c>
      <c r="E25" s="98">
        <v>0</v>
      </c>
      <c r="F25" s="98">
        <v>1078914.93</v>
      </c>
      <c r="G25" s="98">
        <v>0</v>
      </c>
      <c r="H25" s="98">
        <v>1043346.67</v>
      </c>
      <c r="I25" s="98">
        <v>0</v>
      </c>
      <c r="J25" s="98">
        <v>0</v>
      </c>
      <c r="K25" s="98">
        <v>0</v>
      </c>
      <c r="L25" s="98">
        <v>0</v>
      </c>
      <c r="M25" s="98">
        <v>1237494.33</v>
      </c>
    </row>
    <row r="27">
      <c r="A27" s="92" t="s">
        <v>615</v>
      </c>
      <c r="B27" s="92" t="s">
        <v>615</v>
      </c>
      <c r="C27" s="92" t="s">
        <v>615</v>
      </c>
      <c r="D27" s="92" t="s">
        <v>615</v>
      </c>
      <c r="E27" s="92" t="s">
        <v>615</v>
      </c>
      <c r="F27" s="92" t="s">
        <v>615</v>
      </c>
      <c r="G27" s="92" t="s">
        <v>615</v>
      </c>
      <c r="H27" s="92" t="s">
        <v>615</v>
      </c>
      <c r="I27" s="92" t="s">
        <v>615</v>
      </c>
      <c r="J27" s="92" t="s">
        <v>615</v>
      </c>
      <c r="K27" s="92" t="s">
        <v>615</v>
      </c>
      <c r="L27" s="92" t="s">
        <v>615</v>
      </c>
      <c r="M27" s="92" t="s">
        <v>615</v>
      </c>
    </row>
    <row r="28">
      <c r="A28" s="93" t="s">
        <v>461</v>
      </c>
      <c r="B28" s="93" t="s">
        <v>462</v>
      </c>
      <c r="C28" s="94">
        <v>2026</v>
      </c>
      <c r="D28" s="94">
        <v>2027</v>
      </c>
      <c r="E28" s="94">
        <v>2028</v>
      </c>
      <c r="F28" s="94">
        <v>2029</v>
      </c>
      <c r="G28" s="94">
        <v>2030</v>
      </c>
      <c r="H28" s="94">
        <v>2031</v>
      </c>
      <c r="I28" s="94">
        <v>2032</v>
      </c>
      <c r="J28" s="94">
        <v>2033</v>
      </c>
      <c r="K28" s="94">
        <v>2034</v>
      </c>
      <c r="L28" s="94">
        <v>2035</v>
      </c>
      <c r="M28" s="94">
        <v>2036</v>
      </c>
    </row>
    <row r="29">
      <c r="A29" s="92" t="s">
        <v>604</v>
      </c>
      <c r="B29" s="92" t="s">
        <v>604</v>
      </c>
      <c r="C29" s="92" t="s">
        <v>604</v>
      </c>
      <c r="D29" s="92" t="s">
        <v>604</v>
      </c>
      <c r="E29" s="92" t="s">
        <v>604</v>
      </c>
      <c r="F29" s="92" t="s">
        <v>604</v>
      </c>
      <c r="G29" s="92" t="s">
        <v>604</v>
      </c>
      <c r="H29" s="92" t="s">
        <v>604</v>
      </c>
      <c r="I29" s="92" t="s">
        <v>604</v>
      </c>
      <c r="J29" s="92" t="s">
        <v>604</v>
      </c>
      <c r="K29" s="92" t="s">
        <v>604</v>
      </c>
      <c r="L29" s="92" t="s">
        <v>604</v>
      </c>
      <c r="M29" s="92" t="s">
        <v>604</v>
      </c>
    </row>
    <row r="30">
      <c r="A30" s="7">
        <v>4</v>
      </c>
      <c r="B30" s="95" t="s">
        <v>605</v>
      </c>
      <c r="C30" s="96">
        <v>0</v>
      </c>
      <c r="D30" s="96">
        <v>0</v>
      </c>
      <c r="E30" s="96">
        <v>0</v>
      </c>
      <c r="F30" s="96">
        <v>0</v>
      </c>
      <c r="G30" s="96">
        <v>0</v>
      </c>
      <c r="H30" s="96">
        <v>0</v>
      </c>
      <c r="I30" s="96">
        <v>0</v>
      </c>
      <c r="J30" s="96">
        <v>0</v>
      </c>
      <c r="K30" s="96">
        <v>0</v>
      </c>
      <c r="L30" s="96">
        <v>0</v>
      </c>
      <c r="M30" s="96">
        <v>0</v>
      </c>
    </row>
    <row r="31">
      <c r="A31" s="7">
        <v>4</v>
      </c>
      <c r="B31" s="95" t="s">
        <v>606</v>
      </c>
      <c r="C31" s="96">
        <v>0</v>
      </c>
      <c r="D31" s="96">
        <v>0</v>
      </c>
      <c r="E31" s="96">
        <v>0</v>
      </c>
      <c r="F31" s="96">
        <v>0</v>
      </c>
      <c r="G31" s="96">
        <v>0</v>
      </c>
      <c r="H31" s="96">
        <v>0</v>
      </c>
      <c r="I31" s="96">
        <v>0</v>
      </c>
      <c r="J31" s="96">
        <v>0</v>
      </c>
      <c r="K31" s="96">
        <v>0</v>
      </c>
      <c r="L31" s="96">
        <v>0</v>
      </c>
      <c r="M31" s="96">
        <v>0</v>
      </c>
    </row>
    <row r="32">
      <c r="A32" s="7">
        <v>4</v>
      </c>
      <c r="B32" s="95" t="s">
        <v>607</v>
      </c>
      <c r="C32" s="96">
        <v>11867274</v>
      </c>
      <c r="D32" s="96">
        <v>5101744.5</v>
      </c>
      <c r="E32" s="96">
        <v>0</v>
      </c>
      <c r="F32" s="96">
        <v>1078914.93</v>
      </c>
      <c r="G32" s="96">
        <v>0</v>
      </c>
      <c r="H32" s="96">
        <v>1043346.67</v>
      </c>
      <c r="I32" s="96">
        <v>0</v>
      </c>
      <c r="J32" s="96">
        <v>0</v>
      </c>
      <c r="K32" s="96">
        <v>0</v>
      </c>
      <c r="L32" s="96">
        <v>0</v>
      </c>
      <c r="M32" s="96">
        <v>1237494.33</v>
      </c>
    </row>
    <row r="33">
      <c r="A33" s="7">
        <v>4</v>
      </c>
      <c r="B33" s="95" t="s">
        <v>608</v>
      </c>
      <c r="C33" s="96">
        <v>0</v>
      </c>
      <c r="D33" s="96">
        <v>0</v>
      </c>
      <c r="E33" s="96">
        <v>0</v>
      </c>
      <c r="F33" s="96">
        <v>0</v>
      </c>
      <c r="G33" s="96">
        <v>0</v>
      </c>
      <c r="H33" s="96">
        <v>0</v>
      </c>
      <c r="I33" s="96">
        <v>0</v>
      </c>
      <c r="J33" s="96">
        <v>0</v>
      </c>
      <c r="K33" s="96">
        <v>0</v>
      </c>
      <c r="L33" s="96">
        <v>0</v>
      </c>
      <c r="M33" s="96">
        <v>0</v>
      </c>
    </row>
    <row r="34">
      <c r="A34" s="7">
        <v>4</v>
      </c>
      <c r="B34" s="95" t="s">
        <v>609</v>
      </c>
      <c r="C34" s="96">
        <v>0</v>
      </c>
      <c r="D34" s="96">
        <v>0</v>
      </c>
      <c r="E34" s="96">
        <v>0</v>
      </c>
      <c r="F34" s="96">
        <v>0</v>
      </c>
      <c r="G34" s="96">
        <v>0</v>
      </c>
      <c r="H34" s="96">
        <v>0</v>
      </c>
      <c r="I34" s="96">
        <v>0</v>
      </c>
      <c r="J34" s="96">
        <v>0</v>
      </c>
      <c r="K34" s="96">
        <v>0</v>
      </c>
      <c r="L34" s="96">
        <v>0</v>
      </c>
      <c r="M34" s="96">
        <v>0</v>
      </c>
    </row>
    <row r="35">
      <c r="A35" s="7">
        <v>4</v>
      </c>
      <c r="B35" s="95" t="s">
        <v>610</v>
      </c>
      <c r="C35" s="96">
        <v>0</v>
      </c>
      <c r="D35" s="96">
        <v>0</v>
      </c>
      <c r="E35" s="96">
        <v>0</v>
      </c>
      <c r="F35" s="96">
        <v>0</v>
      </c>
      <c r="G35" s="96">
        <v>0</v>
      </c>
      <c r="H35" s="96">
        <v>0</v>
      </c>
      <c r="I35" s="96">
        <v>0</v>
      </c>
      <c r="J35" s="96">
        <v>0</v>
      </c>
      <c r="K35" s="96">
        <v>0</v>
      </c>
      <c r="L35" s="96">
        <v>0</v>
      </c>
      <c r="M35" s="96">
        <v>0</v>
      </c>
    </row>
    <row r="36">
      <c r="A36" s="97" t="s">
        <v>611</v>
      </c>
      <c r="B36" s="97" t="s">
        <v>611</v>
      </c>
      <c r="C36" s="98">
        <v>11867274</v>
      </c>
      <c r="D36" s="98">
        <v>5101744.5</v>
      </c>
      <c r="E36" s="98">
        <v>0</v>
      </c>
      <c r="F36" s="98">
        <v>1078914.93</v>
      </c>
      <c r="G36" s="98">
        <v>0</v>
      </c>
      <c r="H36" s="98">
        <v>1043346.67</v>
      </c>
      <c r="I36" s="98">
        <v>0</v>
      </c>
      <c r="J36" s="98">
        <v>0</v>
      </c>
      <c r="K36" s="98">
        <v>0</v>
      </c>
      <c r="L36" s="98">
        <v>0</v>
      </c>
      <c r="M36" s="98">
        <v>1237494.33</v>
      </c>
    </row>
    <row r="37">
      <c r="A37" s="97" t="s">
        <v>612</v>
      </c>
      <c r="B37" s="97" t="s">
        <v>612</v>
      </c>
      <c r="C37" s="96">
        <v>0</v>
      </c>
      <c r="D37" s="96">
        <v>0</v>
      </c>
      <c r="E37" s="96">
        <v>0</v>
      </c>
      <c r="F37" s="96">
        <v>0</v>
      </c>
      <c r="G37" s="96">
        <v>0</v>
      </c>
      <c r="H37" s="96">
        <v>0</v>
      </c>
      <c r="I37" s="96">
        <v>0</v>
      </c>
      <c r="J37" s="96">
        <v>0</v>
      </c>
      <c r="K37" s="96">
        <v>0</v>
      </c>
      <c r="L37" s="96">
        <v>0</v>
      </c>
      <c r="M37" s="96">
        <v>0</v>
      </c>
    </row>
    <row r="38">
      <c r="A38" s="97" t="s">
        <v>613</v>
      </c>
      <c r="B38" s="97" t="s">
        <v>613</v>
      </c>
      <c r="C38" s="98">
        <v>11867274</v>
      </c>
      <c r="D38" s="98">
        <v>5101744.5</v>
      </c>
      <c r="E38" s="98">
        <v>0</v>
      </c>
      <c r="F38" s="98">
        <v>1078914.93</v>
      </c>
      <c r="G38" s="98">
        <v>0</v>
      </c>
      <c r="H38" s="98">
        <v>1043346.67</v>
      </c>
      <c r="I38" s="98">
        <v>0</v>
      </c>
      <c r="J38" s="98">
        <v>0</v>
      </c>
      <c r="K38" s="98">
        <v>0</v>
      </c>
      <c r="L38" s="98">
        <v>0</v>
      </c>
      <c r="M38" s="98">
        <v>1237494.33</v>
      </c>
    </row>
    <row r="40">
      <c r="A40" s="92" t="s">
        <v>616</v>
      </c>
      <c r="B40" s="92" t="s">
        <v>616</v>
      </c>
      <c r="C40" s="92" t="s">
        <v>616</v>
      </c>
      <c r="D40" s="92" t="s">
        <v>616</v>
      </c>
      <c r="E40" s="92" t="s">
        <v>616</v>
      </c>
      <c r="F40" s="92" t="s">
        <v>616</v>
      </c>
      <c r="G40" s="92" t="s">
        <v>616</v>
      </c>
      <c r="H40" s="92" t="s">
        <v>616</v>
      </c>
      <c r="I40" s="92" t="s">
        <v>616</v>
      </c>
      <c r="J40" s="92" t="s">
        <v>616</v>
      </c>
      <c r="K40" s="92" t="s">
        <v>616</v>
      </c>
      <c r="L40" s="92" t="s">
        <v>616</v>
      </c>
      <c r="M40" s="92" t="s">
        <v>616</v>
      </c>
    </row>
    <row r="41">
      <c r="A41" s="93" t="s">
        <v>461</v>
      </c>
      <c r="B41" s="93" t="s">
        <v>462</v>
      </c>
      <c r="C41" s="94">
        <v>2026</v>
      </c>
      <c r="D41" s="94">
        <v>2027</v>
      </c>
      <c r="E41" s="94">
        <v>2028</v>
      </c>
      <c r="F41" s="94">
        <v>2029</v>
      </c>
      <c r="G41" s="94">
        <v>2030</v>
      </c>
      <c r="H41" s="94">
        <v>2031</v>
      </c>
      <c r="I41" s="94">
        <v>2032</v>
      </c>
      <c r="J41" s="94">
        <v>2033</v>
      </c>
      <c r="K41" s="94">
        <v>2034</v>
      </c>
      <c r="L41" s="94">
        <v>2035</v>
      </c>
      <c r="M41" s="94">
        <v>2036</v>
      </c>
    </row>
    <row r="42">
      <c r="A42" s="92" t="s">
        <v>604</v>
      </c>
      <c r="B42" s="92" t="s">
        <v>604</v>
      </c>
      <c r="C42" s="92" t="s">
        <v>604</v>
      </c>
      <c r="D42" s="92" t="s">
        <v>604</v>
      </c>
      <c r="E42" s="92" t="s">
        <v>604</v>
      </c>
      <c r="F42" s="92" t="s">
        <v>604</v>
      </c>
      <c r="G42" s="92" t="s">
        <v>604</v>
      </c>
      <c r="H42" s="92" t="s">
        <v>604</v>
      </c>
      <c r="I42" s="92" t="s">
        <v>604</v>
      </c>
      <c r="J42" s="92" t="s">
        <v>604</v>
      </c>
      <c r="K42" s="92" t="s">
        <v>604</v>
      </c>
      <c r="L42" s="92" t="s">
        <v>604</v>
      </c>
      <c r="M42" s="92" t="s">
        <v>604</v>
      </c>
    </row>
    <row r="43">
      <c r="A43" s="7">
        <v>4</v>
      </c>
      <c r="B43" s="95" t="s">
        <v>605</v>
      </c>
      <c r="C43" s="99">
        <v>0</v>
      </c>
      <c r="D43" s="99">
        <v>0</v>
      </c>
      <c r="E43" s="99">
        <v>0</v>
      </c>
      <c r="F43" s="99">
        <v>0</v>
      </c>
      <c r="G43" s="99">
        <v>0</v>
      </c>
      <c r="H43" s="99">
        <v>0</v>
      </c>
      <c r="I43" s="99">
        <v>0</v>
      </c>
      <c r="J43" s="99">
        <v>0</v>
      </c>
      <c r="K43" s="99">
        <v>0</v>
      </c>
      <c r="L43" s="99">
        <v>0</v>
      </c>
      <c r="M43" s="99">
        <v>0</v>
      </c>
    </row>
    <row r="44">
      <c r="A44" s="7">
        <v>4</v>
      </c>
      <c r="B44" s="95" t="s">
        <v>606</v>
      </c>
      <c r="C44" s="99">
        <v>0</v>
      </c>
      <c r="D44" s="99">
        <v>0</v>
      </c>
      <c r="E44" s="99">
        <v>0</v>
      </c>
      <c r="F44" s="99">
        <v>0</v>
      </c>
      <c r="G44" s="99">
        <v>0</v>
      </c>
      <c r="H44" s="99">
        <v>0</v>
      </c>
      <c r="I44" s="99">
        <v>0</v>
      </c>
      <c r="J44" s="99">
        <v>0</v>
      </c>
      <c r="K44" s="99">
        <v>0</v>
      </c>
      <c r="L44" s="99">
        <v>0</v>
      </c>
      <c r="M44" s="99">
        <v>0</v>
      </c>
    </row>
    <row r="45">
      <c r="A45" s="7">
        <v>4</v>
      </c>
      <c r="B45" s="95" t="s">
        <v>607</v>
      </c>
      <c r="C45" s="99">
        <v>1</v>
      </c>
      <c r="D45" s="99">
        <v>1</v>
      </c>
      <c r="E45" s="99">
        <v>0</v>
      </c>
      <c r="F45" s="99">
        <v>1</v>
      </c>
      <c r="G45" s="99">
        <v>0</v>
      </c>
      <c r="H45" s="99">
        <v>1</v>
      </c>
      <c r="I45" s="99">
        <v>0</v>
      </c>
      <c r="J45" s="99">
        <v>0</v>
      </c>
      <c r="K45" s="99">
        <v>0</v>
      </c>
      <c r="L45" s="99">
        <v>0</v>
      </c>
      <c r="M45" s="99">
        <v>1</v>
      </c>
    </row>
    <row r="46">
      <c r="A46" s="7">
        <v>4</v>
      </c>
      <c r="B46" s="95" t="s">
        <v>608</v>
      </c>
      <c r="C46" s="99">
        <v>0</v>
      </c>
      <c r="D46" s="99">
        <v>0</v>
      </c>
      <c r="E46" s="99">
        <v>0</v>
      </c>
      <c r="F46" s="99">
        <v>0</v>
      </c>
      <c r="G46" s="99">
        <v>0</v>
      </c>
      <c r="H46" s="99">
        <v>0</v>
      </c>
      <c r="I46" s="99">
        <v>0</v>
      </c>
      <c r="J46" s="99">
        <v>0</v>
      </c>
      <c r="K46" s="99">
        <v>0</v>
      </c>
      <c r="L46" s="99">
        <v>0</v>
      </c>
      <c r="M46" s="99">
        <v>0</v>
      </c>
    </row>
    <row r="47">
      <c r="A47" s="7">
        <v>4</v>
      </c>
      <c r="B47" s="95" t="s">
        <v>609</v>
      </c>
      <c r="C47" s="99">
        <v>0</v>
      </c>
      <c r="D47" s="99">
        <v>0</v>
      </c>
      <c r="E47" s="99">
        <v>0</v>
      </c>
      <c r="F47" s="99">
        <v>0</v>
      </c>
      <c r="G47" s="99">
        <v>0</v>
      </c>
      <c r="H47" s="99">
        <v>0</v>
      </c>
      <c r="I47" s="99">
        <v>0</v>
      </c>
      <c r="J47" s="99">
        <v>0</v>
      </c>
      <c r="K47" s="99">
        <v>0</v>
      </c>
      <c r="L47" s="99">
        <v>0</v>
      </c>
      <c r="M47" s="99">
        <v>0</v>
      </c>
    </row>
    <row r="48">
      <c r="A48" s="7">
        <v>4</v>
      </c>
      <c r="B48" s="95" t="s">
        <v>610</v>
      </c>
      <c r="C48" s="99">
        <v>0</v>
      </c>
      <c r="D48" s="99">
        <v>0</v>
      </c>
      <c r="E48" s="99">
        <v>0</v>
      </c>
      <c r="F48" s="99">
        <v>0</v>
      </c>
      <c r="G48" s="99">
        <v>0</v>
      </c>
      <c r="H48" s="99">
        <v>0</v>
      </c>
      <c r="I48" s="99">
        <v>0</v>
      </c>
      <c r="J48" s="99">
        <v>0</v>
      </c>
      <c r="K48" s="99">
        <v>0</v>
      </c>
      <c r="L48" s="99">
        <v>0</v>
      </c>
      <c r="M48" s="99">
        <v>0</v>
      </c>
    </row>
    <row r="49">
      <c r="A49" s="97" t="s">
        <v>611</v>
      </c>
      <c r="B49" s="97" t="s">
        <v>611</v>
      </c>
      <c r="C49" s="100">
        <v>1</v>
      </c>
      <c r="D49" s="100">
        <v>1</v>
      </c>
      <c r="E49" s="100">
        <v>0</v>
      </c>
      <c r="F49" s="100">
        <v>1</v>
      </c>
      <c r="G49" s="100">
        <v>0</v>
      </c>
      <c r="H49" s="100">
        <v>1</v>
      </c>
      <c r="I49" s="100">
        <v>0</v>
      </c>
      <c r="J49" s="100">
        <v>0</v>
      </c>
      <c r="K49" s="100">
        <v>0</v>
      </c>
      <c r="L49" s="100">
        <v>0</v>
      </c>
      <c r="M49" s="100">
        <v>1</v>
      </c>
    </row>
    <row r="50">
      <c r="A50" s="97" t="s">
        <v>612</v>
      </c>
      <c r="B50" s="97" t="s">
        <v>612</v>
      </c>
      <c r="C50" s="100">
        <v>0</v>
      </c>
      <c r="D50" s="100">
        <v>0</v>
      </c>
      <c r="E50" s="100">
        <v>0</v>
      </c>
      <c r="F50" s="100">
        <v>0</v>
      </c>
      <c r="G50" s="100">
        <v>0</v>
      </c>
      <c r="H50" s="100">
        <v>0</v>
      </c>
      <c r="I50" s="100">
        <v>0</v>
      </c>
      <c r="J50" s="100">
        <v>0</v>
      </c>
      <c r="K50" s="100">
        <v>0</v>
      </c>
      <c r="L50" s="100">
        <v>0</v>
      </c>
      <c r="M50" s="100">
        <v>0</v>
      </c>
    </row>
  </sheetData>
  <mergeCells>
    <mergeCell ref="A1:M1"/>
    <mergeCell ref="A3:M3"/>
    <mergeCell ref="A10:B10"/>
    <mergeCell ref="A11:B11"/>
    <mergeCell ref="A12:B12"/>
    <mergeCell ref="A14:M14"/>
    <mergeCell ref="A16:M16"/>
    <mergeCell ref="A23:B23"/>
    <mergeCell ref="A24:B24"/>
    <mergeCell ref="A25:B25"/>
    <mergeCell ref="A27:M27"/>
    <mergeCell ref="A29:M29"/>
    <mergeCell ref="A36:B36"/>
    <mergeCell ref="A37:B37"/>
    <mergeCell ref="A38:B38"/>
    <mergeCell ref="A40:M40"/>
    <mergeCell ref="A42:M42"/>
    <mergeCell ref="A49:B49"/>
    <mergeCell ref="A50:B50"/>
  </mergeCells>
  <headerFooter/>
</worksheet>
</file>

<file path=xl/worksheets/sheet10.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23" width="9.140625" customWidth="1" style="35"/>
    <col min="24" max="16384" width="9.140625" customWidth="1" style="35"/>
  </cols>
  <sheetData/>
  <sheetProtection sheet="1"/>
  <headerFooter/>
  <drawing r:id="rId1"/>
</worksheet>
</file>

<file path=xl/worksheets/sheet11.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23" width="9.140625" customWidth="1" style="35"/>
    <col min="24" max="16384" width="9.140625" customWidth="1" style="35"/>
  </cols>
  <sheetData/>
  <sheetProtection sheet="1"/>
  <headerFooter/>
  <drawing r:id="rId1"/>
</worksheet>
</file>

<file path=xl/worksheets/sheet12.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23" width="9.140625" customWidth="1" style="35"/>
    <col min="24" max="16384" width="9.140625" customWidth="1" style="35"/>
  </cols>
  <sheetData/>
  <sheetProtection sheet="1"/>
  <headerFooter/>
  <drawing r:id="rId1"/>
</worksheet>
</file>

<file path=xl/worksheets/sheet13.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23" width="9.140625" customWidth="1" style="35"/>
    <col min="24" max="16384" width="9.140625" customWidth="1" style="35"/>
  </cols>
  <sheetData/>
  <sheetProtection sheet="1"/>
  <headerFooter/>
  <drawing r:id="rId1"/>
</worksheet>
</file>

<file path=xl/worksheets/sheet14.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23" width="9.140625" customWidth="1" style="35"/>
    <col min="24" max="16384" width="9.140625" customWidth="1" style="35"/>
  </cols>
  <sheetData/>
  <sheetProtection sheet="1"/>
  <headerFooter/>
  <drawing r:id="rId1"/>
</worksheet>
</file>

<file path=xl/worksheets/sheet15.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23" width="9.140625" customWidth="1" style="35"/>
    <col min="24" max="16384" width="9.140625" customWidth="1" style="35"/>
  </cols>
  <sheetData/>
  <sheetProtection sheet="1"/>
  <headerFooter/>
  <drawing r:id="rId1"/>
</worksheet>
</file>

<file path=xl/worksheets/sheet16.xml><?xml version="1.0" encoding="utf-8"?>
<worksheet xmlns:r="http://schemas.openxmlformats.org/officeDocument/2006/relationships" xmlns="http://schemas.openxmlformats.org/spreadsheetml/2006/main">
  <dimension ref="A1:AI37"/>
  <sheetViews>
    <sheetView workbookViewId="0"/>
  </sheetViews>
  <sheetFormatPr defaultRowHeight="15"/>
  <sheetData>
    <row r="1">
      <c r="A1" s="0">
        <f>='Bridge Work Summary'!A222</f>
      </c>
      <c r="G1" s="0">
        <f>='Bridge Work Summary'!A249</f>
      </c>
      <c r="M1" s="0">
        <f>='Bridge Work Summary'!A236</f>
      </c>
      <c r="S1" s="0">
        <f>='Bridge Work Summary'!A263</f>
      </c>
      <c r="Y1" s="0">
        <f>='Bridge Work Summary'!A194</f>
      </c>
      <c r="AE1" s="0">
        <f>='Bridge Work Summary'!A208</f>
      </c>
    </row>
    <row r="2">
      <c r="A2" s="0" t="s">
        <v>617</v>
      </c>
      <c r="B2" s="0">
        <f>='Bridge Work Summary'!A224</f>
      </c>
      <c r="C2" s="0">
        <f>='Bridge Work Summary'!A225</f>
      </c>
      <c r="D2" s="0">
        <f>='Bridge Work Summary'!A226</f>
      </c>
      <c r="E2" s="0">
        <f>='Bridge Work Summary'!A227</f>
      </c>
      <c r="G2" s="0" t="s">
        <v>617</v>
      </c>
      <c r="H2" s="0">
        <f>='Bridge Work Summary'!A251</f>
      </c>
      <c r="I2" s="0">
        <f>='Bridge Work Summary'!A252</f>
      </c>
      <c r="J2" s="0">
        <f>='Bridge Work Summary'!A253</f>
      </c>
      <c r="K2" s="0">
        <f>='Bridge Work Summary'!A254</f>
      </c>
      <c r="M2" s="0" t="s">
        <v>617</v>
      </c>
      <c r="N2" s="0">
        <f>='Bridge Work Summary'!A238</f>
      </c>
      <c r="O2" s="0">
        <f>='Bridge Work Summary'!A239</f>
      </c>
      <c r="P2" s="0">
        <f>='Bridge Work Summary'!A240</f>
      </c>
      <c r="Q2" s="0">
        <f>='Bridge Work Summary'!A241</f>
      </c>
      <c r="S2" s="0" t="s">
        <v>617</v>
      </c>
      <c r="T2" s="0">
        <f>='Bridge Work Summary'!A265</f>
      </c>
      <c r="U2" s="0">
        <f>='Bridge Work Summary'!A266</f>
      </c>
      <c r="V2" s="0">
        <f>='Bridge Work Summary'!A267</f>
      </c>
      <c r="W2" s="0">
        <f>='Bridge Work Summary'!A268</f>
      </c>
      <c r="Y2" s="0" t="s">
        <v>617</v>
      </c>
      <c r="Z2" s="0">
        <f>='Bridge Work Summary'!A196</f>
      </c>
      <c r="AA2" s="0">
        <f>='Bridge Work Summary'!A197</f>
      </c>
      <c r="AB2" s="0">
        <f>='Bridge Work Summary'!A198</f>
      </c>
      <c r="AC2" s="0">
        <f>='Bridge Work Summary'!A199</f>
      </c>
      <c r="AE2" s="0" t="s">
        <v>617</v>
      </c>
      <c r="AF2" s="0">
        <f>='Bridge Work Summary'!A210</f>
      </c>
      <c r="AG2" s="0">
        <f>='Bridge Work Summary'!A211</f>
      </c>
      <c r="AH2" s="0">
        <f>='Bridge Work Summary'!A212</f>
      </c>
      <c r="AI2" s="0">
        <f>='Bridge Work Summary'!A213</f>
      </c>
    </row>
    <row r="3">
      <c r="A3" s="0">
        <f>='Bridge Work Summary'!B223</f>
      </c>
      <c r="B3" s="76">
        <f>='Bridge Work Summary'!B224</f>
      </c>
      <c r="C3" s="76">
        <f>='Bridge Work Summary'!B225</f>
      </c>
      <c r="D3" s="76">
        <f>='Bridge Work Summary'!B226</f>
      </c>
      <c r="G3" s="0">
        <f>='Bridge Work Summary'!B250</f>
      </c>
      <c r="H3" s="76">
        <f>='Bridge Work Summary'!B251</f>
      </c>
      <c r="I3" s="76">
        <f>='Bridge Work Summary'!B252</f>
      </c>
      <c r="J3" s="76">
        <f>='Bridge Work Summary'!B253</f>
      </c>
      <c r="M3" s="0">
        <f>='Bridge Work Summary'!B237</f>
      </c>
      <c r="N3" s="76">
        <f>='Bridge Work Summary'!B238</f>
      </c>
      <c r="O3" s="76">
        <f>='Bridge Work Summary'!B239</f>
      </c>
      <c r="P3" s="76">
        <f>='Bridge Work Summary'!B240</f>
      </c>
      <c r="S3" s="0">
        <f>='Bridge Work Summary'!B264</f>
      </c>
      <c r="T3" s="76">
        <f>='Bridge Work Summary'!B265</f>
      </c>
      <c r="U3" s="76">
        <f>='Bridge Work Summary'!B266</f>
      </c>
      <c r="V3" s="76">
        <f>='Bridge Work Summary'!B267</f>
      </c>
      <c r="Y3" s="0">
        <f>='Bridge Work Summary'!B195</f>
      </c>
      <c r="Z3" s="76">
        <f>='Bridge Work Summary'!B196</f>
      </c>
      <c r="AA3" s="76">
        <f>='Bridge Work Summary'!B197</f>
      </c>
      <c r="AB3" s="76">
        <f>='Bridge Work Summary'!B198</f>
      </c>
      <c r="AE3" s="0">
        <f>='Bridge Work Summary'!B209</f>
      </c>
      <c r="AF3" s="76">
        <f>='Bridge Work Summary'!B210</f>
      </c>
      <c r="AG3" s="76">
        <f>='Bridge Work Summary'!B211</f>
      </c>
      <c r="AH3" s="76">
        <f>='Bridge Work Summary'!B212</f>
      </c>
    </row>
    <row r="4">
      <c r="E4" s="76">
        <f>='Bridge Work Summary'!B227</f>
      </c>
      <c r="K4" s="76">
        <f>='Bridge Work Summary'!B254</f>
      </c>
      <c r="Q4" s="76">
        <f>='Bridge Work Summary'!B241</f>
      </c>
      <c r="W4" s="76">
        <f>='Bridge Work Summary'!B268</f>
      </c>
      <c r="AC4" s="76">
        <f>='Bridge Work Summary'!B199</f>
      </c>
      <c r="AI4" s="76">
        <f>='Bridge Work Summary'!B213</f>
      </c>
    </row>
    <row r="6">
      <c r="A6" s="0">
        <f>='Bridge Work Summary'!C223</f>
      </c>
      <c r="B6" s="76">
        <f>='Bridge Work Summary'!C224</f>
      </c>
      <c r="C6" s="76">
        <f>='Bridge Work Summary'!C225</f>
      </c>
      <c r="D6" s="76">
        <f>='Bridge Work Summary'!C226</f>
      </c>
      <c r="G6" s="0">
        <f>='Bridge Work Summary'!C250</f>
      </c>
      <c r="H6" s="76">
        <f>='Bridge Work Summary'!C251</f>
      </c>
      <c r="I6" s="76">
        <f>='Bridge Work Summary'!C252</f>
      </c>
      <c r="J6" s="76">
        <f>='Bridge Work Summary'!C253</f>
      </c>
      <c r="M6" s="0">
        <f>='Bridge Work Summary'!C237</f>
      </c>
      <c r="N6" s="76">
        <f>='Bridge Work Summary'!C238</f>
      </c>
      <c r="O6" s="76">
        <f>='Bridge Work Summary'!C239</f>
      </c>
      <c r="P6" s="76">
        <f>='Bridge Work Summary'!C240</f>
      </c>
      <c r="S6" s="0">
        <f>='Bridge Work Summary'!C264</f>
      </c>
      <c r="T6" s="76">
        <f>='Bridge Work Summary'!C265</f>
      </c>
      <c r="U6" s="76">
        <f>='Bridge Work Summary'!C266</f>
      </c>
      <c r="V6" s="76">
        <f>='Bridge Work Summary'!C267</f>
      </c>
      <c r="Y6" s="0">
        <f>='Bridge Work Summary'!C195</f>
      </c>
      <c r="Z6" s="76">
        <f>='Bridge Work Summary'!C196</f>
      </c>
      <c r="AA6" s="76">
        <f>='Bridge Work Summary'!C197</f>
      </c>
      <c r="AB6" s="76">
        <f>='Bridge Work Summary'!C198</f>
      </c>
      <c r="AE6" s="0">
        <f>='Bridge Work Summary'!C209</f>
      </c>
      <c r="AF6" s="76">
        <f>='Bridge Work Summary'!C210</f>
      </c>
      <c r="AG6" s="76">
        <f>='Bridge Work Summary'!C211</f>
      </c>
      <c r="AH6" s="76">
        <f>='Bridge Work Summary'!C212</f>
      </c>
    </row>
    <row r="7">
      <c r="E7" s="76">
        <f>='Bridge Work Summary'!C227</f>
      </c>
      <c r="K7" s="76">
        <f>='Bridge Work Summary'!C254</f>
      </c>
      <c r="Q7" s="76">
        <f>='Bridge Work Summary'!C241</f>
      </c>
      <c r="W7" s="76">
        <f>='Bridge Work Summary'!C268</f>
      </c>
      <c r="AC7" s="76">
        <f>='Bridge Work Summary'!C199</f>
      </c>
      <c r="AI7" s="76">
        <f>='Bridge Work Summary'!C213</f>
      </c>
    </row>
    <row r="9">
      <c r="A9" s="0">
        <f>='Bridge Work Summary'!D223</f>
      </c>
      <c r="B9" s="76">
        <f>='Bridge Work Summary'!D224</f>
      </c>
      <c r="C9" s="76">
        <f>='Bridge Work Summary'!D225</f>
      </c>
      <c r="D9" s="76">
        <f>='Bridge Work Summary'!D226</f>
      </c>
      <c r="G9" s="0">
        <f>='Bridge Work Summary'!D250</f>
      </c>
      <c r="H9" s="76">
        <f>='Bridge Work Summary'!D251</f>
      </c>
      <c r="I9" s="76">
        <f>='Bridge Work Summary'!D252</f>
      </c>
      <c r="J9" s="76">
        <f>='Bridge Work Summary'!D253</f>
      </c>
      <c r="M9" s="0">
        <f>='Bridge Work Summary'!D237</f>
      </c>
      <c r="N9" s="76">
        <f>='Bridge Work Summary'!D238</f>
      </c>
      <c r="O9" s="76">
        <f>='Bridge Work Summary'!D239</f>
      </c>
      <c r="P9" s="76">
        <f>='Bridge Work Summary'!D240</f>
      </c>
      <c r="S9" s="0">
        <f>='Bridge Work Summary'!D264</f>
      </c>
      <c r="T9" s="76">
        <f>='Bridge Work Summary'!D265</f>
      </c>
      <c r="U9" s="76">
        <f>='Bridge Work Summary'!D266</f>
      </c>
      <c r="V9" s="76">
        <f>='Bridge Work Summary'!D267</f>
      </c>
      <c r="Y9" s="0">
        <f>='Bridge Work Summary'!D195</f>
      </c>
      <c r="Z9" s="76">
        <f>='Bridge Work Summary'!D196</f>
      </c>
      <c r="AA9" s="76">
        <f>='Bridge Work Summary'!D197</f>
      </c>
      <c r="AB9" s="76">
        <f>='Bridge Work Summary'!D198</f>
      </c>
      <c r="AE9" s="0">
        <f>='Bridge Work Summary'!D209</f>
      </c>
      <c r="AF9" s="76">
        <f>='Bridge Work Summary'!D210</f>
      </c>
      <c r="AG9" s="76">
        <f>='Bridge Work Summary'!D211</f>
      </c>
      <c r="AH9" s="76">
        <f>='Bridge Work Summary'!D212</f>
      </c>
    </row>
    <row r="10">
      <c r="E10" s="76">
        <f>='Bridge Work Summary'!D227</f>
      </c>
      <c r="K10" s="76">
        <f>='Bridge Work Summary'!D254</f>
      </c>
      <c r="Q10" s="76">
        <f>='Bridge Work Summary'!D241</f>
      </c>
      <c r="W10" s="76">
        <f>='Bridge Work Summary'!D268</f>
      </c>
      <c r="AC10" s="76">
        <f>='Bridge Work Summary'!D199</f>
      </c>
      <c r="AI10" s="76">
        <f>='Bridge Work Summary'!D213</f>
      </c>
    </row>
    <row r="12">
      <c r="A12" s="0">
        <f>='Bridge Work Summary'!E223</f>
      </c>
      <c r="B12" s="76">
        <f>='Bridge Work Summary'!E224</f>
      </c>
      <c r="C12" s="76">
        <f>='Bridge Work Summary'!E225</f>
      </c>
      <c r="D12" s="76">
        <f>='Bridge Work Summary'!E226</f>
      </c>
      <c r="G12" s="0">
        <f>='Bridge Work Summary'!E250</f>
      </c>
      <c r="H12" s="76">
        <f>='Bridge Work Summary'!E251</f>
      </c>
      <c r="I12" s="76">
        <f>='Bridge Work Summary'!E252</f>
      </c>
      <c r="J12" s="76">
        <f>='Bridge Work Summary'!E253</f>
      </c>
      <c r="M12" s="0">
        <f>='Bridge Work Summary'!E237</f>
      </c>
      <c r="N12" s="76">
        <f>='Bridge Work Summary'!E238</f>
      </c>
      <c r="O12" s="76">
        <f>='Bridge Work Summary'!E239</f>
      </c>
      <c r="P12" s="76">
        <f>='Bridge Work Summary'!E240</f>
      </c>
      <c r="S12" s="0">
        <f>='Bridge Work Summary'!E264</f>
      </c>
      <c r="T12" s="76">
        <f>='Bridge Work Summary'!E265</f>
      </c>
      <c r="U12" s="76">
        <f>='Bridge Work Summary'!E266</f>
      </c>
      <c r="V12" s="76">
        <f>='Bridge Work Summary'!E267</f>
      </c>
      <c r="Y12" s="0">
        <f>='Bridge Work Summary'!E195</f>
      </c>
      <c r="Z12" s="76">
        <f>='Bridge Work Summary'!E196</f>
      </c>
      <c r="AA12" s="76">
        <f>='Bridge Work Summary'!E197</f>
      </c>
      <c r="AB12" s="76">
        <f>='Bridge Work Summary'!E198</f>
      </c>
      <c r="AE12" s="0">
        <f>='Bridge Work Summary'!E209</f>
      </c>
      <c r="AF12" s="76">
        <f>='Bridge Work Summary'!E210</f>
      </c>
      <c r="AG12" s="76">
        <f>='Bridge Work Summary'!E211</f>
      </c>
      <c r="AH12" s="76">
        <f>='Bridge Work Summary'!E212</f>
      </c>
    </row>
    <row r="13">
      <c r="E13" s="76">
        <f>='Bridge Work Summary'!E227</f>
      </c>
      <c r="K13" s="76">
        <f>='Bridge Work Summary'!E254</f>
      </c>
      <c r="Q13" s="76">
        <f>='Bridge Work Summary'!E241</f>
      </c>
      <c r="W13" s="76">
        <f>='Bridge Work Summary'!E268</f>
      </c>
      <c r="AC13" s="76">
        <f>='Bridge Work Summary'!E199</f>
      </c>
      <c r="AI13" s="76">
        <f>='Bridge Work Summary'!E213</f>
      </c>
    </row>
    <row r="15">
      <c r="A15" s="0">
        <f>='Bridge Work Summary'!F223</f>
      </c>
      <c r="B15" s="76">
        <f>='Bridge Work Summary'!F224</f>
      </c>
      <c r="C15" s="76">
        <f>='Bridge Work Summary'!F225</f>
      </c>
      <c r="D15" s="76">
        <f>='Bridge Work Summary'!F226</f>
      </c>
      <c r="G15" s="0">
        <f>='Bridge Work Summary'!F250</f>
      </c>
      <c r="H15" s="76">
        <f>='Bridge Work Summary'!F251</f>
      </c>
      <c r="I15" s="76">
        <f>='Bridge Work Summary'!F252</f>
      </c>
      <c r="J15" s="76">
        <f>='Bridge Work Summary'!F253</f>
      </c>
      <c r="M15" s="0">
        <f>='Bridge Work Summary'!F237</f>
      </c>
      <c r="N15" s="76">
        <f>='Bridge Work Summary'!F238</f>
      </c>
      <c r="O15" s="76">
        <f>='Bridge Work Summary'!F239</f>
      </c>
      <c r="P15" s="76">
        <f>='Bridge Work Summary'!F240</f>
      </c>
      <c r="S15" s="0">
        <f>='Bridge Work Summary'!F264</f>
      </c>
      <c r="T15" s="76">
        <f>='Bridge Work Summary'!F265</f>
      </c>
      <c r="U15" s="76">
        <f>='Bridge Work Summary'!F266</f>
      </c>
      <c r="V15" s="76">
        <f>='Bridge Work Summary'!F267</f>
      </c>
      <c r="Y15" s="0">
        <f>='Bridge Work Summary'!F195</f>
      </c>
      <c r="Z15" s="76">
        <f>='Bridge Work Summary'!F196</f>
      </c>
      <c r="AA15" s="76">
        <f>='Bridge Work Summary'!F197</f>
      </c>
      <c r="AB15" s="76">
        <f>='Bridge Work Summary'!F198</f>
      </c>
      <c r="AE15" s="0">
        <f>='Bridge Work Summary'!F209</f>
      </c>
      <c r="AF15" s="76">
        <f>='Bridge Work Summary'!F210</f>
      </c>
      <c r="AG15" s="76">
        <f>='Bridge Work Summary'!F211</f>
      </c>
      <c r="AH15" s="76">
        <f>='Bridge Work Summary'!F212</f>
      </c>
    </row>
    <row r="16">
      <c r="E16" s="76">
        <f>='Bridge Work Summary'!F227</f>
      </c>
      <c r="K16" s="76">
        <f>='Bridge Work Summary'!F254</f>
      </c>
      <c r="Q16" s="76">
        <f>='Bridge Work Summary'!F241</f>
      </c>
      <c r="W16" s="76">
        <f>='Bridge Work Summary'!F268</f>
      </c>
      <c r="AC16" s="76">
        <f>='Bridge Work Summary'!F199</f>
      </c>
      <c r="AI16" s="76">
        <f>='Bridge Work Summary'!F213</f>
      </c>
    </row>
    <row r="18">
      <c r="A18" s="0">
        <f>='Bridge Work Summary'!G223</f>
      </c>
      <c r="B18" s="76">
        <f>='Bridge Work Summary'!G224</f>
      </c>
      <c r="C18" s="76">
        <f>='Bridge Work Summary'!G225</f>
      </c>
      <c r="D18" s="76">
        <f>='Bridge Work Summary'!G226</f>
      </c>
      <c r="G18" s="0">
        <f>='Bridge Work Summary'!G250</f>
      </c>
      <c r="H18" s="76">
        <f>='Bridge Work Summary'!G251</f>
      </c>
      <c r="I18" s="76">
        <f>='Bridge Work Summary'!G252</f>
      </c>
      <c r="J18" s="76">
        <f>='Bridge Work Summary'!G253</f>
      </c>
      <c r="M18" s="0">
        <f>='Bridge Work Summary'!G237</f>
      </c>
      <c r="N18" s="76">
        <f>='Bridge Work Summary'!G238</f>
      </c>
      <c r="O18" s="76">
        <f>='Bridge Work Summary'!G239</f>
      </c>
      <c r="P18" s="76">
        <f>='Bridge Work Summary'!G240</f>
      </c>
      <c r="S18" s="0">
        <f>='Bridge Work Summary'!G264</f>
      </c>
      <c r="T18" s="76">
        <f>='Bridge Work Summary'!G265</f>
      </c>
      <c r="U18" s="76">
        <f>='Bridge Work Summary'!G266</f>
      </c>
      <c r="V18" s="76">
        <f>='Bridge Work Summary'!G267</f>
      </c>
      <c r="Y18" s="0">
        <f>='Bridge Work Summary'!G195</f>
      </c>
      <c r="Z18" s="76">
        <f>='Bridge Work Summary'!G196</f>
      </c>
      <c r="AA18" s="76">
        <f>='Bridge Work Summary'!G197</f>
      </c>
      <c r="AB18" s="76">
        <f>='Bridge Work Summary'!G198</f>
      </c>
      <c r="AE18" s="0">
        <f>='Bridge Work Summary'!G209</f>
      </c>
      <c r="AF18" s="76">
        <f>='Bridge Work Summary'!G210</f>
      </c>
      <c r="AG18" s="76">
        <f>='Bridge Work Summary'!G211</f>
      </c>
      <c r="AH18" s="76">
        <f>='Bridge Work Summary'!G212</f>
      </c>
    </row>
    <row r="19">
      <c r="E19" s="76">
        <f>='Bridge Work Summary'!G227</f>
      </c>
      <c r="K19" s="76">
        <f>='Bridge Work Summary'!G254</f>
      </c>
      <c r="Q19" s="76">
        <f>='Bridge Work Summary'!G241</f>
      </c>
      <c r="W19" s="76">
        <f>='Bridge Work Summary'!G268</f>
      </c>
      <c r="AC19" s="76">
        <f>='Bridge Work Summary'!G199</f>
      </c>
      <c r="AI19" s="76">
        <f>='Bridge Work Summary'!G213</f>
      </c>
    </row>
    <row r="21">
      <c r="A21" s="0">
        <f>='Bridge Work Summary'!H223</f>
      </c>
      <c r="B21" s="76">
        <f>='Bridge Work Summary'!H224</f>
      </c>
      <c r="C21" s="76">
        <f>='Bridge Work Summary'!H225</f>
      </c>
      <c r="D21" s="76">
        <f>='Bridge Work Summary'!H226</f>
      </c>
      <c r="G21" s="0">
        <f>='Bridge Work Summary'!H250</f>
      </c>
      <c r="H21" s="76">
        <f>='Bridge Work Summary'!H251</f>
      </c>
      <c r="I21" s="76">
        <f>='Bridge Work Summary'!H252</f>
      </c>
      <c r="J21" s="76">
        <f>='Bridge Work Summary'!H253</f>
      </c>
      <c r="M21" s="0">
        <f>='Bridge Work Summary'!H237</f>
      </c>
      <c r="N21" s="76">
        <f>='Bridge Work Summary'!H238</f>
      </c>
      <c r="O21" s="76">
        <f>='Bridge Work Summary'!H239</f>
      </c>
      <c r="P21" s="76">
        <f>='Bridge Work Summary'!H240</f>
      </c>
      <c r="S21" s="0">
        <f>='Bridge Work Summary'!H264</f>
      </c>
      <c r="T21" s="76">
        <f>='Bridge Work Summary'!H265</f>
      </c>
      <c r="U21" s="76">
        <f>='Bridge Work Summary'!H266</f>
      </c>
      <c r="V21" s="76">
        <f>='Bridge Work Summary'!H267</f>
      </c>
      <c r="Y21" s="0">
        <f>='Bridge Work Summary'!H195</f>
      </c>
      <c r="Z21" s="76">
        <f>='Bridge Work Summary'!H196</f>
      </c>
      <c r="AA21" s="76">
        <f>='Bridge Work Summary'!H197</f>
      </c>
      <c r="AB21" s="76">
        <f>='Bridge Work Summary'!H198</f>
      </c>
      <c r="AE21" s="0">
        <f>='Bridge Work Summary'!H209</f>
      </c>
      <c r="AF21" s="76">
        <f>='Bridge Work Summary'!H210</f>
      </c>
      <c r="AG21" s="76">
        <f>='Bridge Work Summary'!H211</f>
      </c>
      <c r="AH21" s="76">
        <f>='Bridge Work Summary'!H212</f>
      </c>
    </row>
    <row r="22">
      <c r="E22" s="76">
        <f>='Bridge Work Summary'!H227</f>
      </c>
      <c r="K22" s="76">
        <f>='Bridge Work Summary'!H254</f>
      </c>
      <c r="Q22" s="76">
        <f>='Bridge Work Summary'!H241</f>
      </c>
      <c r="W22" s="76">
        <f>='Bridge Work Summary'!H268</f>
      </c>
      <c r="AC22" s="76">
        <f>='Bridge Work Summary'!H199</f>
      </c>
      <c r="AI22" s="76">
        <f>='Bridge Work Summary'!H213</f>
      </c>
    </row>
    <row r="24">
      <c r="A24" s="0">
        <f>='Bridge Work Summary'!I223</f>
      </c>
      <c r="B24" s="76">
        <f>='Bridge Work Summary'!I224</f>
      </c>
      <c r="C24" s="76">
        <f>='Bridge Work Summary'!I225</f>
      </c>
      <c r="D24" s="76">
        <f>='Bridge Work Summary'!I226</f>
      </c>
      <c r="G24" s="0">
        <f>='Bridge Work Summary'!I250</f>
      </c>
      <c r="H24" s="76">
        <f>='Bridge Work Summary'!I251</f>
      </c>
      <c r="I24" s="76">
        <f>='Bridge Work Summary'!I252</f>
      </c>
      <c r="J24" s="76">
        <f>='Bridge Work Summary'!I253</f>
      </c>
      <c r="M24" s="0">
        <f>='Bridge Work Summary'!I237</f>
      </c>
      <c r="N24" s="76">
        <f>='Bridge Work Summary'!I238</f>
      </c>
      <c r="O24" s="76">
        <f>='Bridge Work Summary'!I239</f>
      </c>
      <c r="P24" s="76">
        <f>='Bridge Work Summary'!I240</f>
      </c>
      <c r="S24" s="0">
        <f>='Bridge Work Summary'!I264</f>
      </c>
      <c r="T24" s="76">
        <f>='Bridge Work Summary'!I265</f>
      </c>
      <c r="U24" s="76">
        <f>='Bridge Work Summary'!I266</f>
      </c>
      <c r="V24" s="76">
        <f>='Bridge Work Summary'!I267</f>
      </c>
      <c r="Y24" s="0">
        <f>='Bridge Work Summary'!I195</f>
      </c>
      <c r="Z24" s="76">
        <f>='Bridge Work Summary'!I196</f>
      </c>
      <c r="AA24" s="76">
        <f>='Bridge Work Summary'!I197</f>
      </c>
      <c r="AB24" s="76">
        <f>='Bridge Work Summary'!I198</f>
      </c>
      <c r="AE24" s="0">
        <f>='Bridge Work Summary'!I209</f>
      </c>
      <c r="AF24" s="76">
        <f>='Bridge Work Summary'!I210</f>
      </c>
      <c r="AG24" s="76">
        <f>='Bridge Work Summary'!I211</f>
      </c>
      <c r="AH24" s="76">
        <f>='Bridge Work Summary'!I212</f>
      </c>
    </row>
    <row r="25">
      <c r="E25" s="76">
        <f>='Bridge Work Summary'!I227</f>
      </c>
      <c r="K25" s="76">
        <f>='Bridge Work Summary'!I254</f>
      </c>
      <c r="Q25" s="76">
        <f>='Bridge Work Summary'!I241</f>
      </c>
      <c r="W25" s="76">
        <f>='Bridge Work Summary'!I268</f>
      </c>
      <c r="AC25" s="76">
        <f>='Bridge Work Summary'!I199</f>
      </c>
      <c r="AI25" s="76">
        <f>='Bridge Work Summary'!I213</f>
      </c>
    </row>
    <row r="27">
      <c r="A27" s="0">
        <f>='Bridge Work Summary'!J223</f>
      </c>
      <c r="B27" s="76">
        <f>='Bridge Work Summary'!J224</f>
      </c>
      <c r="C27" s="76">
        <f>='Bridge Work Summary'!J225</f>
      </c>
      <c r="D27" s="76">
        <f>='Bridge Work Summary'!J226</f>
      </c>
      <c r="G27" s="0">
        <f>='Bridge Work Summary'!J250</f>
      </c>
      <c r="H27" s="76">
        <f>='Bridge Work Summary'!J251</f>
      </c>
      <c r="I27" s="76">
        <f>='Bridge Work Summary'!J252</f>
      </c>
      <c r="J27" s="76">
        <f>='Bridge Work Summary'!J253</f>
      </c>
      <c r="M27" s="0">
        <f>='Bridge Work Summary'!J237</f>
      </c>
      <c r="N27" s="76">
        <f>='Bridge Work Summary'!J238</f>
      </c>
      <c r="O27" s="76">
        <f>='Bridge Work Summary'!J239</f>
      </c>
      <c r="P27" s="76">
        <f>='Bridge Work Summary'!J240</f>
      </c>
      <c r="S27" s="0">
        <f>='Bridge Work Summary'!J264</f>
      </c>
      <c r="T27" s="76">
        <f>='Bridge Work Summary'!J265</f>
      </c>
      <c r="U27" s="76">
        <f>='Bridge Work Summary'!J266</f>
      </c>
      <c r="V27" s="76">
        <f>='Bridge Work Summary'!J267</f>
      </c>
      <c r="Y27" s="0">
        <f>='Bridge Work Summary'!J195</f>
      </c>
      <c r="Z27" s="76">
        <f>='Bridge Work Summary'!J196</f>
      </c>
      <c r="AA27" s="76">
        <f>='Bridge Work Summary'!J197</f>
      </c>
      <c r="AB27" s="76">
        <f>='Bridge Work Summary'!J198</f>
      </c>
      <c r="AE27" s="0">
        <f>='Bridge Work Summary'!J209</f>
      </c>
      <c r="AF27" s="76">
        <f>='Bridge Work Summary'!J210</f>
      </c>
      <c r="AG27" s="76">
        <f>='Bridge Work Summary'!J211</f>
      </c>
      <c r="AH27" s="76">
        <f>='Bridge Work Summary'!J212</f>
      </c>
    </row>
    <row r="28">
      <c r="E28" s="76">
        <f>='Bridge Work Summary'!J227</f>
      </c>
      <c r="K28" s="76">
        <f>='Bridge Work Summary'!J254</f>
      </c>
      <c r="Q28" s="76">
        <f>='Bridge Work Summary'!J241</f>
      </c>
      <c r="W28" s="76">
        <f>='Bridge Work Summary'!J268</f>
      </c>
      <c r="AC28" s="76">
        <f>='Bridge Work Summary'!J199</f>
      </c>
      <c r="AI28" s="76">
        <f>='Bridge Work Summary'!J213</f>
      </c>
    </row>
    <row r="30">
      <c r="A30" s="0">
        <f>='Bridge Work Summary'!K223</f>
      </c>
      <c r="B30" s="76">
        <f>='Bridge Work Summary'!K224</f>
      </c>
      <c r="C30" s="76">
        <f>='Bridge Work Summary'!K225</f>
      </c>
      <c r="D30" s="76">
        <f>='Bridge Work Summary'!K226</f>
      </c>
      <c r="G30" s="0">
        <f>='Bridge Work Summary'!K250</f>
      </c>
      <c r="H30" s="76">
        <f>='Bridge Work Summary'!K251</f>
      </c>
      <c r="I30" s="76">
        <f>='Bridge Work Summary'!K252</f>
      </c>
      <c r="J30" s="76">
        <f>='Bridge Work Summary'!K253</f>
      </c>
      <c r="M30" s="0">
        <f>='Bridge Work Summary'!K237</f>
      </c>
      <c r="N30" s="76">
        <f>='Bridge Work Summary'!K238</f>
      </c>
      <c r="O30" s="76">
        <f>='Bridge Work Summary'!K239</f>
      </c>
      <c r="P30" s="76">
        <f>='Bridge Work Summary'!K240</f>
      </c>
      <c r="S30" s="0">
        <f>='Bridge Work Summary'!K264</f>
      </c>
      <c r="T30" s="76">
        <f>='Bridge Work Summary'!K265</f>
      </c>
      <c r="U30" s="76">
        <f>='Bridge Work Summary'!K266</f>
      </c>
      <c r="V30" s="76">
        <f>='Bridge Work Summary'!K267</f>
      </c>
      <c r="Y30" s="0">
        <f>='Bridge Work Summary'!K195</f>
      </c>
      <c r="Z30" s="76">
        <f>='Bridge Work Summary'!K196</f>
      </c>
      <c r="AA30" s="76">
        <f>='Bridge Work Summary'!K197</f>
      </c>
      <c r="AB30" s="76">
        <f>='Bridge Work Summary'!K198</f>
      </c>
      <c r="AE30" s="0">
        <f>='Bridge Work Summary'!K209</f>
      </c>
      <c r="AF30" s="76">
        <f>='Bridge Work Summary'!K210</f>
      </c>
      <c r="AG30" s="76">
        <f>='Bridge Work Summary'!K211</f>
      </c>
      <c r="AH30" s="76">
        <f>='Bridge Work Summary'!K212</f>
      </c>
    </row>
    <row r="31">
      <c r="E31" s="76">
        <f>='Bridge Work Summary'!K227</f>
      </c>
      <c r="K31" s="76">
        <f>='Bridge Work Summary'!K254</f>
      </c>
      <c r="Q31" s="76">
        <f>='Bridge Work Summary'!K241</f>
      </c>
      <c r="W31" s="76">
        <f>='Bridge Work Summary'!K268</f>
      </c>
      <c r="AC31" s="76">
        <f>='Bridge Work Summary'!K199</f>
      </c>
      <c r="AI31" s="76">
        <f>='Bridge Work Summary'!K213</f>
      </c>
    </row>
    <row r="33">
      <c r="A33" s="0">
        <f>='Bridge Work Summary'!L223</f>
      </c>
      <c r="B33" s="76">
        <f>='Bridge Work Summary'!L224</f>
      </c>
      <c r="C33" s="76">
        <f>='Bridge Work Summary'!L225</f>
      </c>
      <c r="D33" s="76">
        <f>='Bridge Work Summary'!L226</f>
      </c>
      <c r="G33" s="0">
        <f>='Bridge Work Summary'!L250</f>
      </c>
      <c r="H33" s="76">
        <f>='Bridge Work Summary'!L251</f>
      </c>
      <c r="I33" s="76">
        <f>='Bridge Work Summary'!L252</f>
      </c>
      <c r="J33" s="76">
        <f>='Bridge Work Summary'!L253</f>
      </c>
      <c r="M33" s="0">
        <f>='Bridge Work Summary'!L237</f>
      </c>
      <c r="N33" s="76">
        <f>='Bridge Work Summary'!L238</f>
      </c>
      <c r="O33" s="76">
        <f>='Bridge Work Summary'!L239</f>
      </c>
      <c r="P33" s="76">
        <f>='Bridge Work Summary'!L240</f>
      </c>
      <c r="S33" s="0">
        <f>='Bridge Work Summary'!L264</f>
      </c>
      <c r="T33" s="76">
        <f>='Bridge Work Summary'!L265</f>
      </c>
      <c r="U33" s="76">
        <f>='Bridge Work Summary'!L266</f>
      </c>
      <c r="V33" s="76">
        <f>='Bridge Work Summary'!L267</f>
      </c>
      <c r="Y33" s="0">
        <f>='Bridge Work Summary'!L195</f>
      </c>
      <c r="Z33" s="76">
        <f>='Bridge Work Summary'!L196</f>
      </c>
      <c r="AA33" s="76">
        <f>='Bridge Work Summary'!L197</f>
      </c>
      <c r="AB33" s="76">
        <f>='Bridge Work Summary'!L198</f>
      </c>
      <c r="AE33" s="0">
        <f>='Bridge Work Summary'!L209</f>
      </c>
      <c r="AF33" s="76">
        <f>='Bridge Work Summary'!L210</f>
      </c>
      <c r="AG33" s="76">
        <f>='Bridge Work Summary'!L211</f>
      </c>
      <c r="AH33" s="76">
        <f>='Bridge Work Summary'!L212</f>
      </c>
    </row>
    <row r="34">
      <c r="E34" s="76">
        <f>='Bridge Work Summary'!L227</f>
      </c>
      <c r="K34" s="76">
        <f>='Bridge Work Summary'!L254</f>
      </c>
      <c r="Q34" s="76">
        <f>='Bridge Work Summary'!L241</f>
      </c>
      <c r="W34" s="76">
        <f>='Bridge Work Summary'!L268</f>
      </c>
      <c r="AC34" s="76">
        <f>='Bridge Work Summary'!L199</f>
      </c>
      <c r="AI34" s="76">
        <f>='Bridge Work Summary'!L213</f>
      </c>
    </row>
    <row r="36">
      <c r="A36" s="0">
        <f>='Bridge Work Summary'!M223</f>
      </c>
      <c r="B36" s="76">
        <f>='Bridge Work Summary'!M224</f>
      </c>
      <c r="C36" s="76">
        <f>='Bridge Work Summary'!M225</f>
      </c>
      <c r="D36" s="76">
        <f>='Bridge Work Summary'!M226</f>
      </c>
      <c r="G36" s="0">
        <f>='Bridge Work Summary'!M250</f>
      </c>
      <c r="H36" s="76">
        <f>='Bridge Work Summary'!M251</f>
      </c>
      <c r="I36" s="76">
        <f>='Bridge Work Summary'!M252</f>
      </c>
      <c r="J36" s="76">
        <f>='Bridge Work Summary'!M253</f>
      </c>
      <c r="M36" s="0">
        <f>='Bridge Work Summary'!M237</f>
      </c>
      <c r="N36" s="76">
        <f>='Bridge Work Summary'!M238</f>
      </c>
      <c r="O36" s="76">
        <f>='Bridge Work Summary'!M239</f>
      </c>
      <c r="P36" s="76">
        <f>='Bridge Work Summary'!M240</f>
      </c>
      <c r="S36" s="0">
        <f>='Bridge Work Summary'!M264</f>
      </c>
      <c r="T36" s="76">
        <f>='Bridge Work Summary'!M265</f>
      </c>
      <c r="U36" s="76">
        <f>='Bridge Work Summary'!M266</f>
      </c>
      <c r="V36" s="76">
        <f>='Bridge Work Summary'!M267</f>
      </c>
      <c r="Y36" s="0">
        <f>='Bridge Work Summary'!M195</f>
      </c>
      <c r="Z36" s="76">
        <f>='Bridge Work Summary'!M196</f>
      </c>
      <c r="AA36" s="76">
        <f>='Bridge Work Summary'!M197</f>
      </c>
      <c r="AB36" s="76">
        <f>='Bridge Work Summary'!M198</f>
      </c>
      <c r="AE36" s="0">
        <f>='Bridge Work Summary'!M209</f>
      </c>
      <c r="AF36" s="76">
        <f>='Bridge Work Summary'!M210</f>
      </c>
      <c r="AG36" s="76">
        <f>='Bridge Work Summary'!M211</f>
      </c>
      <c r="AH36" s="76">
        <f>='Bridge Work Summary'!M212</f>
      </c>
    </row>
    <row r="37">
      <c r="E37" s="76">
        <f>='Bridge Work Summary'!M227</f>
      </c>
      <c r="K37" s="76">
        <f>='Bridge Work Summary'!M254</f>
      </c>
      <c r="Q37" s="76">
        <f>='Bridge Work Summary'!M241</f>
      </c>
      <c r="W37" s="76">
        <f>='Bridge Work Summary'!M268</f>
      </c>
      <c r="AC37" s="76">
        <f>='Bridge Work Summary'!M199</f>
      </c>
      <c r="AI37" s="76">
        <f>='Bridge Work Summary'!M213</f>
      </c>
    </row>
  </sheetData>
  <headerFooter/>
</worksheet>
</file>

<file path=xl/worksheets/sheet17.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

<file path=xl/worksheets/sheet18.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

<file path=xl/worksheets/sheet19.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

<file path=xl/worksheets/sheet20.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

<file path=xl/worksheets/sheet21.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

<file path=xl/worksheets/sheet22.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

<file path=xl/worksheets/sheet23.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

<file path=xl/worksheets/sheet24.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

<file path=xl/worksheets/sheet25.xml><?xml version="1.0" encoding="utf-8"?>
<worksheet xmlns:r="http://schemas.openxmlformats.org/officeDocument/2006/relationships" xmlns="http://schemas.openxmlformats.org/spreadsheetml/2006/main">
  <sheetViews>
    <sheetView workbookViewId="0" showRowColHeaders="0"/>
  </sheetViews>
  <sheetFormatPr defaultRowHeight="15"/>
  <cols>
    <col min="1" max="1" width="9.140625" customWidth="1" style="35"/>
    <col min="2" max="2" width="9.140625" customWidth="1" style="35"/>
    <col min="3" max="3" width="9.140625" customWidth="1" style="35"/>
    <col min="4" max="4" width="9.140625" customWidth="1" style="35"/>
    <col min="5" max="5" width="9.140625" customWidth="1" style="35"/>
    <col min="6" max="6" width="9.140625" customWidth="1" style="35"/>
    <col min="7" max="7" width="9.140625" customWidth="1" style="35"/>
    <col min="8" max="8" width="9.140625" customWidth="1" style="35"/>
    <col min="9" max="9" width="9.140625" customWidth="1" style="35"/>
    <col min="10" max="10" width="9.140625" customWidth="1" style="35"/>
    <col min="11" max="11" width="9.140625" customWidth="1" style="35"/>
    <col min="12" max="12" width="9.140625" customWidth="1" style="35"/>
    <col min="13" max="13" width="9.140625" customWidth="1" style="35"/>
    <col min="14" max="14" width="9.140625" customWidth="1" style="35"/>
    <col min="15" max="15" width="9.140625" customWidth="1" style="35"/>
    <col min="16" max="16" width="9.140625" customWidth="1" style="35"/>
    <col min="17" max="17" width="9.140625" customWidth="1" style="35"/>
    <col min="18" max="18" width="9.140625" customWidth="1" style="35"/>
    <col min="19" max="19" width="9.140625" customWidth="1" style="35"/>
    <col min="20" max="20" width="9.140625" customWidth="1" style="35"/>
    <col min="21" max="21" width="9.140625" customWidth="1" style="35"/>
    <col min="22" max="22" width="9.140625" customWidth="1" style="35"/>
    <col min="23" max="16384" width="9.140625" customWidth="1" style="35"/>
  </cols>
  <sheetData/>
  <sheetProtection sheet="1"/>
  <headerFooter/>
  <drawing r:id="rId1"/>
</worksheet>
</file>